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'Synthèse'!$A$1:$C$61</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4">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b val="1"/>
      <color rgb="0098351B"/>
      <sz val="10"/>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9" fillId="0" borderId="1" pivotButton="0" quotePrefix="0" xfId="0"/>
    <xf numFmtId="165" fontId="10" fillId="0" borderId="1" pivotButton="0" quotePrefix="0" xfId="0"/>
    <xf numFmtId="168" fontId="10" fillId="0" borderId="1" pivotButton="0" quotePrefix="0" xfId="0"/>
    <xf numFmtId="2" fontId="10" fillId="0" borderId="1" pivotButton="0" quotePrefix="0" xfId="0"/>
    <xf numFmtId="0" fontId="11"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8" fillId="0" borderId="0" applyAlignment="1" pivotButton="0" quotePrefix="0" xfId="0">
      <alignment vertical="top" wrapText="1"/>
    </xf>
    <xf numFmtId="0" fontId="6" fillId="2" borderId="0" applyAlignment="1" pivotButton="0" quotePrefix="0" xfId="0">
      <alignment vertical="center" wrapText="1"/>
    </xf>
    <xf numFmtId="0" fontId="12" fillId="0" borderId="0" pivotButton="0" quotePrefix="0" xfId="0"/>
    <xf numFmtId="0" fontId="0"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local-dactivite-entrepot-a-vendre--41128626"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local-dactivite-entrepot-a-vendre--41128626" TargetMode="External" Id="rId1" /></Relationships>
</file>

<file path=xl/worksheets/sheet1.xml><?xml version="1.0" encoding="utf-8"?>
<worksheet xmlns="http://schemas.openxmlformats.org/spreadsheetml/2006/main">
  <sheetPr>
    <outlinePr summaryBelow="1" summaryRight="1"/>
    <pageSetUpPr fitToPage="1"/>
  </sheetPr>
  <dimension ref="A1:F60"/>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LOCAL D'ACTIVITE - ENTREPÔT A VENDRE</t>
        </is>
      </c>
    </row>
    <row r="4">
      <c r="A4" s="4" t="inlineStr">
        <is>
          <t>Vaux-le-Pénil (77000) — annonce bureauxlocaux du 2026-07-07</t>
        </is>
      </c>
      <c r="C4" s="5" t="inlineStr">
        <is>
          <t>Voir l'annonce en ligne ↗</t>
        </is>
      </c>
    </row>
    <row r="5">
      <c r="A5" s="6" t="inlineStr">
        <is>
          <t>Dossier généré le 15/10/2026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+3 496 €/mois.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290</v>
      </c>
    </row>
    <row r="18">
      <c r="A18" s="14" t="inlineStr">
        <is>
          <t>Prix affiché</t>
        </is>
      </c>
      <c r="B18" s="17" t="n">
        <v>304200</v>
      </c>
    </row>
    <row r="19">
      <c r="A19" s="14" t="inlineStr">
        <is>
          <t>Prix au m²</t>
        </is>
      </c>
      <c r="B19" s="17">
        <f>IFERROR(B18/B17,"")</f>
        <v/>
      </c>
    </row>
    <row r="20">
      <c r="A20" s="14" t="inlineStr">
        <is>
          <t>Loyer mensuel HT</t>
        </is>
      </c>
      <c r="B20" s="18" t="n">
        <v>6121.42</v>
      </c>
      <c r="C20" s="19" t="inlineStr">
        <is>
          <t>ESTIMATION au loyer de marché local — aucun bail ne le garantit</t>
        </is>
      </c>
    </row>
    <row r="21">
      <c r="A21" s="14" t="inlineStr">
        <is>
          <t>Marché local (prix/m²)</t>
        </is>
      </c>
      <c r="B21" s="15" t="inlineStr">
        <is>
          <t>1 100 à 2 000 €/m²</t>
        </is>
      </c>
      <c r="C21" s="19" t="inlineStr">
        <is>
          <t>ce bien est 32 % SOUS la médiane locale</t>
        </is>
      </c>
    </row>
    <row r="22">
      <c r="A22" s="14" t="inlineStr">
        <is>
          <t>Source de la fourchette</t>
        </is>
      </c>
      <c r="B22" s="15" t="inlineStr">
        <is>
          <t>référentiel interne</t>
        </is>
      </c>
    </row>
    <row r="24" ht="18" customHeight="1">
      <c r="A24" s="7" t="inlineStr">
        <is>
          <t>HYPOTHÈSES — cellules jaunes à ajuster avec votre conseiller</t>
        </is>
      </c>
    </row>
    <row r="25">
      <c r="A25" s="14" t="inlineStr">
        <is>
          <t>Prix négocié retenu</t>
        </is>
      </c>
      <c r="B25" s="18" t="n">
        <v>304200</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64/100</t>
        </is>
      </c>
      <c r="C57" s="19" t="inlineStr">
        <is>
          <t>rendement, emplacement, prix vs marché, financement, fiscalité</t>
        </is>
      </c>
    </row>
    <row r="59">
      <c r="A59" s="27" t="inlineStr">
        <is>
          <t>⚠ AVERTISSEMENT : le rendement affiché par le vendeur est anormalement élevé. Exiger le bail et les quittances avant toute offre — ce dossier reprend le loyer annoncé tel quel.</t>
        </is>
      </c>
    </row>
    <row r="60"/>
  </sheetData>
  <mergeCells count="12">
    <mergeCell ref="A4:B4"/>
    <mergeCell ref="A41:C41"/>
    <mergeCell ref="A1:C1"/>
    <mergeCell ref="A59:C60"/>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8" t="inlineStr">
        <is>
          <t>Année</t>
        </is>
      </c>
      <c r="B1" s="28" t="inlineStr">
        <is>
          <t>Capital dû en début d'année</t>
        </is>
      </c>
      <c r="C1" s="28" t="inlineStr">
        <is>
          <t>Intérêts de l'année</t>
        </is>
      </c>
      <c r="D1" s="28" t="inlineStr">
        <is>
          <t>Capital remboursé</t>
        </is>
      </c>
      <c r="E1" s="28"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9" t="inlineStr">
        <is>
          <t>Titre</t>
        </is>
      </c>
      <c r="B1" s="30" t="inlineStr">
        <is>
          <t>LOCAL D'ACTIVITE - ENTREPÔT A VENDRE</t>
        </is>
      </c>
    </row>
    <row r="2">
      <c r="A2" s="29" t="inlineStr">
        <is>
          <t>Lien</t>
        </is>
      </c>
      <c r="B2" s="31" t="inlineStr">
        <is>
          <t>https://www.bureauxlocaux.com/annonce/local-dactivite-entrepot-a-vendre--41128626</t>
        </is>
      </c>
    </row>
    <row r="3">
      <c r="A3" s="29" t="inlineStr">
        <is>
          <t>Ville</t>
        </is>
      </c>
      <c r="B3" s="30" t="inlineStr">
        <is>
          <t>Vaux-le-Pénil (77000)</t>
        </is>
      </c>
    </row>
    <row r="4">
      <c r="A4" s="29" t="inlineStr">
        <is>
          <t>Source</t>
        </is>
      </c>
      <c r="B4" s="30" t="inlineStr">
        <is>
          <t>bureauxlocaux</t>
        </is>
      </c>
    </row>
    <row r="5">
      <c r="A5" s="29" t="inlineStr">
        <is>
          <t>Première détection</t>
        </is>
      </c>
      <c r="B5" s="30" t="inlineStr">
        <is>
          <t>2026-07-07</t>
        </is>
      </c>
    </row>
    <row r="6">
      <c r="A6" s="29" t="inlineStr">
        <is>
          <t>Type</t>
        </is>
      </c>
      <c r="B6" s="30" t="inlineStr">
        <is>
          <t>Murs libres</t>
        </is>
      </c>
    </row>
    <row r="7">
      <c r="A7" s="29" t="inlineStr">
        <is>
          <t>Caractéristiques</t>
        </is>
      </c>
      <c r="B7" s="30" t="inlineStr">
        <is>
          <t>—</t>
        </is>
      </c>
    </row>
    <row r="8">
      <c r="A8" s="29" t="inlineStr">
        <is>
          <t>Évolution du prix</t>
        </is>
      </c>
      <c r="B8" s="30" t="inlineStr">
        <is>
          <t>stable depuis la première vue</t>
        </is>
      </c>
    </row>
    <row r="9">
      <c r="A9" s="29" t="inlineStr">
        <is>
          <t>Fourchette de marché</t>
        </is>
      </c>
      <c r="B9" s="30" t="inlineStr">
        <is>
          <t>référentiel interne</t>
        </is>
      </c>
    </row>
    <row r="10">
      <c r="A10" s="29" t="inlineStr">
        <is>
          <t>Lecture du prix</t>
        </is>
      </c>
      <c r="B10" s="30" t="inlineStr">
        <is>
          <t>Décote lisible : les grandes surfaces se négocient mécaniquement moins cher au m² ; secteur de grande couronne, moins tendu.</t>
        </is>
      </c>
    </row>
    <row r="11">
      <c r="A11" s="29" t="inlineStr">
        <is>
          <t>Alertes</t>
        </is>
      </c>
      <c r="B11" s="30" t="inlineStr">
        <is>
          <t>loyer_estime · rendement_anormalement_eleve</t>
        </is>
      </c>
    </row>
    <row r="12" ht="110" customHeight="1">
      <c r="A12" s="29" t="inlineStr">
        <is>
          <t>Description</t>
        </is>
      </c>
      <c r="B12" s="30" t="inlineStr">
        <is>
          <t>Arthur Loyd 77-91 vous propose, à la vente en VEFA (vente en l'état futur d'achèvement), une surface de 290 m² environ à usage de show-room/atelier. Cet espace est situé en façade d'immeuble sur rue, et fait partie d'un programme immobilier professionnel en construction qui sera livré le 1er trimestre 2027. La surface totale est de plain-pied. Ces locaux bénéficient d'une belle visibilité depuis une rue passante de la zone industrielle. Frais de notaire réduits. Honoraires de commercialisation à la charge de l'acquéreur : 6 % HT du prix de vente HT Prix de vente : 681.500 Euros HT</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2026-10-15T00:12:53Z</dcterms:created>
  <dcterms:modified xsi:type="dcterms:W3CDTF">2026-10-15T00:12:53Z</dcterms:modified>
</cp:coreProperties>
</file>