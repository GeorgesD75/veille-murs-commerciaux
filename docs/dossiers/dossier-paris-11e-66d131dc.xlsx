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'Synthèse'!$A$1:$C$59</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achat-local-commercial-boutique-paris-11e-75011,2753574,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achat-local-commercial-boutique-paris-11e-75011,2753574,A,offre.html" TargetMode="External" Id="rId1" /></Relationships>
</file>

<file path=xl/worksheets/sheet1.xml><?xml version="1.0" encoding="utf-8"?>
<worksheet xmlns="http://schemas.openxmlformats.org/spreadsheetml/2006/main">
  <sheetPr>
    <outlinePr summaryBelow="1" summaryRight="1"/>
    <pageSetUpPr fitToPage="1"/>
  </sheetPr>
  <dimension ref="A1:F58"/>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AV murs commerciaux 51m² à Paris 11 Père-Lachaise</t>
        </is>
      </c>
    </row>
    <row r="4">
      <c r="A4" s="4" t="inlineStr">
        <is>
          <t>Paris 11e (75011) — annonce cessionpme du 2026-07-10</t>
        </is>
      </c>
      <c r="C4" s="5" t="inlineStr">
        <is>
          <t>Voir l'annonce en ligne ↗</t>
        </is>
      </c>
    </row>
    <row r="5">
      <c r="A5" s="6" t="inlineStr">
        <is>
          <t>Dossier généré le 07/09/2026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B26</f>
        <v/>
      </c>
      <c r="E8" s="6" t="inlineStr">
        <is>
          <t>Crédit + charges / mois</t>
        </is>
      </c>
      <c r="F8" s="8">
        <f>B39-(B44+B45+B46)/12</f>
        <v/>
      </c>
    </row>
    <row r="9">
      <c r="A9" s="9" t="inlineStr">
        <is>
          <t>Apport nécessaire</t>
        </is>
      </c>
      <c r="B9" s="10">
        <f>B37</f>
        <v/>
      </c>
      <c r="E9" s="6" t="inlineStr">
        <is>
          <t>Cash-flow</t>
        </is>
      </c>
      <c r="F9" s="8">
        <f>B50</f>
        <v/>
      </c>
    </row>
    <row r="10">
      <c r="A10" s="9" t="inlineStr">
        <is>
          <t>Mensualité de crédit estimée</t>
        </is>
      </c>
      <c r="B10" s="11">
        <f>B39</f>
        <v/>
      </c>
    </row>
    <row r="11">
      <c r="A11" s="9" t="inlineStr">
        <is>
          <t>Cash-flow mensuel attendu</t>
        </is>
      </c>
      <c r="B11" s="11">
        <f>B50</f>
        <v/>
      </c>
    </row>
    <row r="12">
      <c r="A12" s="9" t="inlineStr">
        <is>
          <t>DSCR (≥ 1,20 rassure)</t>
        </is>
      </c>
      <c r="B12" s="12">
        <f>B55</f>
        <v/>
      </c>
    </row>
    <row r="13">
      <c r="A13" s="13" t="inlineStr">
        <is>
          <t>EN CLAIR — Sur la base d'un loyer ESTIMÉ (pas de bail signé à ce stade) : aux hypothèses de ce dossier (apport 20 %, crédit 4,75 % sur 20 ans, charges provisionnées), il reste environ 286 €/mois à financer en plus du loyer — marge de négociation ou apport supplémentaire à prévoir.</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51</v>
      </c>
    </row>
    <row r="18">
      <c r="A18" s="14" t="inlineStr">
        <is>
          <t>Prix affiché</t>
        </is>
      </c>
      <c r="B18" s="17" t="n">
        <v>355000</v>
      </c>
    </row>
    <row r="19">
      <c r="A19" s="14" t="inlineStr">
        <is>
          <t>Prix au m²</t>
        </is>
      </c>
      <c r="B19" s="17">
        <f>IFERROR(B18/B17,"")</f>
        <v/>
      </c>
    </row>
    <row r="20">
      <c r="A20" s="14" t="inlineStr">
        <is>
          <t>Loyer mensuel HT</t>
        </is>
      </c>
      <c r="B20" s="18" t="n">
        <v>1986.45</v>
      </c>
      <c r="C20" s="19" t="inlineStr">
        <is>
          <t>ESTIMATION au loyer de marché local — aucun bail ne le garantit</t>
        </is>
      </c>
    </row>
    <row r="21">
      <c r="A21" s="14" t="inlineStr">
        <is>
          <t>Marché local (prix/m²)</t>
        </is>
      </c>
      <c r="B21" s="15" t="inlineStr">
        <is>
          <t>4 468 à 9 878 €/m²</t>
        </is>
      </c>
      <c r="C21" s="19" t="inlineStr">
        <is>
          <t>ce bien est 1 % SOUS la médiane locale</t>
        </is>
      </c>
    </row>
    <row r="22">
      <c r="A22" s="14" t="inlineStr">
        <is>
          <t>Source de la fourchette</t>
        </is>
      </c>
      <c r="B22" s="15" t="inlineStr">
        <is>
          <t>572 ventes réelles 2023-2025 (DVF)</t>
        </is>
      </c>
      <c r="C22" s="19" t="inlineStr">
        <is>
          <t>DVF = prix réellement payés, enregistrés chez le notaire (data.gouv.fr)</t>
        </is>
      </c>
    </row>
    <row r="23">
      <c r="A23" s="14" t="inlineStr">
        <is>
          <t>Évolution du prix demandé</t>
        </is>
      </c>
      <c r="B23" s="15" t="inlineStr">
        <is>
          <t>379 000 € (10/07) → 355 000 € (07/09)  —  −6.3 % depuis la première vue</t>
        </is>
      </c>
      <c r="C23" s="19" t="inlineStr">
        <is>
          <t>un prix qui baisse est un levier de négociation documenté</t>
        </is>
      </c>
    </row>
    <row r="25" ht="18" customHeight="1">
      <c r="A25" s="7" t="inlineStr">
        <is>
          <t>HYPOTHÈSES — cellules jaunes à ajuster avec votre conseiller</t>
        </is>
      </c>
    </row>
    <row r="26">
      <c r="A26" s="14" t="inlineStr">
        <is>
          <t>Prix négocié retenu</t>
        </is>
      </c>
      <c r="B26" s="18" t="n">
        <v>355000</v>
      </c>
      <c r="C26" s="19" t="inlineStr">
        <is>
          <t>par défaut le prix affiché — un prix demandé se négocie</t>
        </is>
      </c>
    </row>
    <row r="27">
      <c r="A27" s="14" t="inlineStr">
        <is>
          <t>Frais d'acquisition (notaire, garanties)</t>
        </is>
      </c>
      <c r="B27" s="20" t="n">
        <v>0.08</v>
      </c>
    </row>
    <row r="28">
      <c r="A28" s="14" t="inlineStr">
        <is>
          <t>Apport personnel</t>
        </is>
      </c>
      <c r="B28" s="20" t="n">
        <v>0.2</v>
      </c>
    </row>
    <row r="29">
      <c r="A29" s="14" t="inlineStr">
        <is>
          <t>Taux du crédit (hors assurance)</t>
        </is>
      </c>
      <c r="B29" s="20" t="n">
        <v>0.0475</v>
      </c>
    </row>
    <row r="30">
      <c r="A30" s="14" t="inlineStr">
        <is>
          <t>Durée du crédit (années)</t>
        </is>
      </c>
      <c r="B30" s="21" t="n">
        <v>20</v>
      </c>
    </row>
    <row r="31">
      <c r="A31" s="14" t="inlineStr">
        <is>
          <t>Taxe foncière (en mois de loyer par an)</t>
        </is>
      </c>
      <c r="B31" s="22" t="n">
        <v>1</v>
      </c>
      <c r="C31" s="19" t="inlineStr">
        <is>
          <t>à remplacer par le montant réel dès que connu</t>
        </is>
      </c>
    </row>
    <row r="32">
      <c r="A32" s="14" t="inlineStr">
        <is>
          <t>Provision entretien &amp; vacance (% du loyer)</t>
        </is>
      </c>
      <c r="B32" s="20" t="n">
        <v>0.05</v>
      </c>
    </row>
    <row r="33">
      <c r="A33" s="14" t="inlineStr">
        <is>
          <t>Assurance propriétaire (PNO, €/an)</t>
        </is>
      </c>
      <c r="B33" s="18" t="n">
        <v>300</v>
      </c>
    </row>
    <row r="35" ht="18" customHeight="1">
      <c r="A35" s="7" t="inlineStr">
        <is>
          <t>PLAN DE FINANCEMENT</t>
        </is>
      </c>
    </row>
    <row r="36">
      <c r="A36" s="14" t="inlineStr">
        <is>
          <t>Coût d'acquisition total</t>
        </is>
      </c>
      <c r="B36" s="17">
        <f>B26*(1+B27)</f>
        <v/>
      </c>
      <c r="C36" s="19" t="inlineStr">
        <is>
          <t>prix négocié + frais d'acquisition</t>
        </is>
      </c>
    </row>
    <row r="37">
      <c r="A37" s="14" t="inlineStr">
        <is>
          <t>Apport personnel</t>
        </is>
      </c>
      <c r="B37" s="17">
        <f>B36*B28</f>
        <v/>
      </c>
    </row>
    <row r="38">
      <c r="A38" s="14" t="inlineStr">
        <is>
          <t>Montant emprunté</t>
        </is>
      </c>
      <c r="B38" s="17">
        <f>B36-B37</f>
        <v/>
      </c>
    </row>
    <row r="39">
      <c r="A39" s="14" t="inlineStr">
        <is>
          <t>Mensualité du crédit</t>
        </is>
      </c>
      <c r="B39" s="23">
        <f>IFERROR(-PMT(B29/12,B30*12,B38),0)</f>
        <v/>
      </c>
    </row>
    <row r="40">
      <c r="A40" s="14" t="inlineStr">
        <is>
          <t>Service de la dette (annuel)</t>
        </is>
      </c>
      <c r="B40" s="17">
        <f>B39*12</f>
        <v/>
      </c>
    </row>
    <row r="42" ht="18" customHeight="1">
      <c r="A42" s="7" t="inlineStr">
        <is>
          <t>EXPLOITATION ANNUELLE</t>
        </is>
      </c>
    </row>
    <row r="43">
      <c r="A43" s="14" t="inlineStr">
        <is>
          <t>Loyers annuels HT</t>
        </is>
      </c>
      <c r="B43" s="17">
        <f>IFERROR(B20*12,0)</f>
        <v/>
      </c>
    </row>
    <row r="44">
      <c r="A44" s="14" t="inlineStr">
        <is>
          <t>− Taxe foncière</t>
        </is>
      </c>
      <c r="B44" s="17">
        <f>-IFERROR(B20*B31,0)</f>
        <v/>
      </c>
    </row>
    <row r="45">
      <c r="A45" s="14" t="inlineStr">
        <is>
          <t>− Entretien &amp; vacance locative</t>
        </is>
      </c>
      <c r="B45" s="17">
        <f>-B43*B32</f>
        <v/>
      </c>
    </row>
    <row r="46">
      <c r="A46" s="14" t="inlineStr">
        <is>
          <t>− Assurance PNO</t>
        </is>
      </c>
      <c r="B46" s="17">
        <f>-B33</f>
        <v/>
      </c>
    </row>
    <row r="47">
      <c r="A47" s="14" t="inlineStr">
        <is>
          <t>Revenu net avant crédit</t>
        </is>
      </c>
      <c r="B47" s="17">
        <f>B43+B44+B45+B46</f>
        <v/>
      </c>
    </row>
    <row r="48">
      <c r="A48" s="14" t="inlineStr">
        <is>
          <t>− Remboursement du crédit</t>
        </is>
      </c>
      <c r="B48" s="17">
        <f>-B40</f>
        <v/>
      </c>
    </row>
    <row r="49">
      <c r="A49" s="14" t="inlineStr">
        <is>
          <t>Cash-flow annuel</t>
        </is>
      </c>
      <c r="B49" s="17">
        <f>B47-B40</f>
        <v/>
      </c>
    </row>
    <row r="50">
      <c r="A50" s="14" t="inlineStr">
        <is>
          <t>Cash-flow mensuel</t>
        </is>
      </c>
      <c r="B50" s="24">
        <f>B49/12</f>
        <v/>
      </c>
      <c r="C50" s="19" t="inlineStr">
        <is>
          <t>positif : le bien se paie tout seul, loyer ≥ crédit + charges</t>
        </is>
      </c>
    </row>
    <row r="52" ht="18" customHeight="1">
      <c r="A52" s="7" t="inlineStr">
        <is>
          <t>LES RATIOS QUE REGARDE LE BANQUIER</t>
        </is>
      </c>
    </row>
    <row r="53">
      <c r="A53" s="14" t="inlineStr">
        <is>
          <t>Rendement brut</t>
        </is>
      </c>
      <c r="B53" s="25">
        <f>IFERROR(B43/B26,"")</f>
        <v/>
      </c>
      <c r="C53" s="19" t="inlineStr">
        <is>
          <t>loyer annuel ÷ prix — la base de comparaison des biens</t>
        </is>
      </c>
    </row>
    <row r="54">
      <c r="A54" s="14" t="inlineStr">
        <is>
          <t>Rendement net avant crédit</t>
        </is>
      </c>
      <c r="B54" s="25">
        <f>IFERROR(B47/B36,"")</f>
        <v/>
      </c>
      <c r="C54" s="19" t="inlineStr">
        <is>
          <t>après taxe foncière, entretien et assurance</t>
        </is>
      </c>
    </row>
    <row r="55">
      <c r="A55" s="14" t="inlineStr">
        <is>
          <t>DSCR — couverture de la dette</t>
        </is>
      </c>
      <c r="B55" s="26">
        <f>IFERROR(B47/B40,"")</f>
        <v/>
      </c>
      <c r="C55" s="19" t="inlineStr">
        <is>
          <t>revenu net ÷ crédit : ≥ 1,20 rassure une banque</t>
        </is>
      </c>
    </row>
    <row r="56">
      <c r="A56" s="14" t="inlineStr">
        <is>
          <t>LTV — part financée par la banque</t>
        </is>
      </c>
      <c r="B56" s="25">
        <f>IFERROR(B38/B26,"")</f>
        <v/>
      </c>
      <c r="C56" s="19" t="inlineStr">
        <is>
          <t>≤ 80 % est la zone de confort bancaire</t>
        </is>
      </c>
    </row>
    <row r="57">
      <c r="A57" s="14" t="inlineStr">
        <is>
          <t>Effort d'épargne mensuel si négatif</t>
        </is>
      </c>
      <c r="B57" s="23">
        <f>MAX(0,-B49/12)</f>
        <v/>
      </c>
    </row>
    <row r="58">
      <c r="A58" s="14" t="inlineStr">
        <is>
          <t>Score de l'outil de veille</t>
        </is>
      </c>
      <c r="B58" s="15" t="inlineStr">
        <is>
          <t>65/100</t>
        </is>
      </c>
      <c r="C58" s="19" t="inlineStr">
        <is>
          <t>rendement, emplacement, prix vs marché, financement, fiscalité</t>
        </is>
      </c>
    </row>
  </sheetData>
  <mergeCells count="11">
    <mergeCell ref="A4:B4"/>
    <mergeCell ref="A25:C25"/>
    <mergeCell ref="A42:C42"/>
    <mergeCell ref="A1:C1"/>
    <mergeCell ref="A3:C3"/>
    <mergeCell ref="A13:C14"/>
    <mergeCell ref="A35:C35"/>
    <mergeCell ref="A15:C15"/>
    <mergeCell ref="A7:C7"/>
    <mergeCell ref="A2:C2"/>
    <mergeCell ref="A52:C52"/>
  </mergeCells>
  <conditionalFormatting sqref="B49">
    <cfRule type="cellIs" priority="1" operator="greaterThanOrEqual" dxfId="0">
      <formula>0</formula>
    </cfRule>
    <cfRule type="cellIs" priority="2" operator="lessThan" dxfId="1">
      <formula>0</formula>
    </cfRule>
  </conditionalFormatting>
  <conditionalFormatting sqref="B50">
    <cfRule type="cellIs" priority="3" operator="greaterThanOrEqual" dxfId="0">
      <formula>0</formula>
    </cfRule>
    <cfRule type="cellIs" priority="4" operator="lessThan" dxfId="1">
      <formula>0</formula>
    </cfRule>
  </conditionalFormatting>
  <conditionalFormatting sqref="B55">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'Synthèse'!B30</f>
        <v/>
      </c>
    </row>
    <row r="2">
      <c r="A2" t="n">
        <v>1</v>
      </c>
      <c r="B2" s="8">
        <f>IF(A2&lt;=$G$1,'Synthèse'!$B$38,"")</f>
        <v/>
      </c>
      <c r="C2" s="8">
        <f>IF(A2&lt;=$G$1,B2*$G$2,"")</f>
        <v/>
      </c>
      <c r="D2" s="8">
        <f>IF(A2&lt;=$G$1,MIN(B2,$G$3-C2),"")</f>
        <v/>
      </c>
      <c r="E2" s="8">
        <f>IF(A2&lt;=$G$1,MAX(0,B2-D2),"")</f>
        <v/>
      </c>
      <c r="F2" s="6" t="inlineStr">
        <is>
          <t>Tableau indicatif (pas annuel) — l'offre de prêt de la banque fait foi.</t>
        </is>
      </c>
      <c r="G2">
        <f>'Synthèse'!B29</f>
        <v/>
      </c>
    </row>
    <row r="3">
      <c r="A3" t="n">
        <v>2</v>
      </c>
      <c r="B3" s="8">
        <f>IF(A3&lt;=$G$1,E2,"")</f>
        <v/>
      </c>
      <c r="C3" s="8">
        <f>IF(A3&lt;=$G$1,B3*$G$2,"")</f>
        <v/>
      </c>
      <c r="D3" s="8">
        <f>IF(A3&lt;=$G$1,MIN(B3,$G$3-C3),"")</f>
        <v/>
      </c>
      <c r="E3" s="8">
        <f>IF(A3&lt;=$G$1,MAX(0,B3-D3),"")</f>
        <v/>
      </c>
      <c r="G3">
        <f>'Synthèse'!B40</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AV murs commerciaux 51m² à Paris 11 Père-Lachaise</t>
        </is>
      </c>
    </row>
    <row r="2">
      <c r="A2" s="28" t="inlineStr">
        <is>
          <t>Lien</t>
        </is>
      </c>
      <c r="B2" s="30" t="inlineStr">
        <is>
          <t>https://www.cessionpme.com/annonce,immo-entreprise-achat-local-commercial-boutique-paris-11e-75011,2753574,A,offre.html</t>
        </is>
      </c>
    </row>
    <row r="3">
      <c r="A3" s="28" t="inlineStr">
        <is>
          <t>Ville</t>
        </is>
      </c>
      <c r="B3" s="29" t="inlineStr">
        <is>
          <t>Paris 11e (75011)</t>
        </is>
      </c>
    </row>
    <row r="4">
      <c r="A4" s="28" t="inlineStr">
        <is>
          <t>Source</t>
        </is>
      </c>
      <c r="B4" s="29" t="inlineStr">
        <is>
          <t>cessionpme</t>
        </is>
      </c>
    </row>
    <row r="5">
      <c r="A5" s="28" t="inlineStr">
        <is>
          <t>Première détection</t>
        </is>
      </c>
      <c r="B5" s="29" t="inlineStr">
        <is>
          <t>2026-07-10</t>
        </is>
      </c>
    </row>
    <row r="6">
      <c r="A6" s="28" t="inlineStr">
        <is>
          <t>Type</t>
        </is>
      </c>
      <c r="B6" s="29" t="inlineStr">
        <is>
          <t>Murs libres</t>
        </is>
      </c>
    </row>
    <row r="7">
      <c r="A7" s="28" t="inlineStr">
        <is>
          <t>Caractéristiques</t>
        </is>
      </c>
      <c r="B7" s="29" t="inlineStr">
        <is>
          <t>—</t>
        </is>
      </c>
    </row>
    <row r="8">
      <c r="A8" s="28" t="inlineStr">
        <is>
          <t>Évolution du prix</t>
        </is>
      </c>
      <c r="B8" s="29" t="inlineStr">
        <is>
          <t>379 000 € (10/07) → 355 000 € (07/09)  —  −6.3 % depuis la première vue</t>
        </is>
      </c>
    </row>
    <row r="9">
      <c r="A9" s="28" t="inlineStr">
        <is>
          <t>Fourchette de marché</t>
        </is>
      </c>
      <c r="B9" s="29" t="inlineStr">
        <is>
          <t>572 ventes réelles 2023-2025 (DVF)</t>
        </is>
      </c>
    </row>
    <row r="10">
      <c r="A10" s="28" t="inlineStr">
        <is>
          <t>Lecture du prix</t>
        </is>
      </c>
      <c r="B10" s="29" t="inlineStr">
        <is>
          <t>Prix cohérent avec le marché local.</t>
        </is>
      </c>
    </row>
    <row r="11">
      <c r="A11" s="28" t="inlineStr">
        <is>
          <t>Alertes</t>
        </is>
      </c>
      <c r="B11" s="29" t="inlineStr">
        <is>
          <t>loyer_estime · rendement_sous_objectif</t>
        </is>
      </c>
    </row>
    <row r="12" ht="110" customHeight="1">
      <c r="A12" s="28" t="inlineStr">
        <is>
          <t>Description</t>
        </is>
      </c>
      <c r="B12" s="29" t="inlineStr">
        <is>
          <t>Vente de murs de boutique libres – Paris 11ᵉ – Secteur Philippe Auguste / Père-Lachaise À proximité immédiate du métro Philippe Auguste et du cimetière du Père-Lachaise, au cœur d'une rue calme et agréable, découvrez ces murs de boutique libres offrant une surface totale de 51 m², parfaitement agencés, sans perte de place. Le local, en bon état général, bénéficie d'une belle luminosité, d'une hauteur sous plafond appréciable et d'une vitrine offrant une excellente visibilité. Le bien se compose de : - Rez-de-chaussée : 40,43 m², comprenant un bel espace commercial sur rue d'environ 36 m², avec un linéaire de vitrine de 5 mètres équipé d'un rideau métallique électrique, ainsi qu'un espace cuisine avec point d'eau et WC. - Cour privative : 3,55 m². - Cave : 7,80 m², idéale pour le stockage. Ce bien conviendra parfaitement à un investisseur ou à un utilisateur souhaitant implanter une activité libérale (architecte, profession médicale, cabinet de conseil, etc.), une activité tertiaire ou tout autre commerce (hors activités générant des nuisances, sous réserve des autorisations en vigueur). Prix de vente : 355 000 € FAI. Réf. agence : VEMU 1028.</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2026-09-07T18:29:38Z</dcterms:created>
  <dcterms:modified xsi:type="dcterms:W3CDTF">2026-09-07T18:29:38Z</dcterms:modified>
</cp:coreProperties>
</file>