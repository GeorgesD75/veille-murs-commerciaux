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ynthèse" sheetId="1" state="visible" r:id="rId1"/>
    <sheet name="Amortissement" sheetId="2" state="visible" r:id="rId2"/>
    <sheet name="Annonce" sheetId="3" state="visible" r:id="rId3"/>
  </sheets>
  <definedNames>
    <definedName name="_xlnm.Print_Area" localSheetId="0">'Synthèse'!$A$1:$C$59</definedName>
  </definedNames>
  <calcPr calcId="124519" fullCalcOnLoad="1"/>
</workbook>
</file>

<file path=xl/styles.xml><?xml version="1.0" encoding="utf-8"?>
<styleSheet xmlns="http://schemas.openxmlformats.org/spreadsheetml/2006/main">
  <numFmts count="5">
    <numFmt numFmtId="164" formatCode="#,##0&quot; m²&quot;"/>
    <numFmt numFmtId="165" formatCode="#,##0&quot; €&quot;"/>
    <numFmt numFmtId="166" formatCode="0.0%"/>
    <numFmt numFmtId="167" formatCode="0.0"/>
    <numFmt numFmtId="168" formatCode="#,##0&quot; €/mois&quot;"/>
  </numFmts>
  <fonts count="13">
    <font>
      <name val="Calibri"/>
      <family val="2"/>
      <color theme="1"/>
      <sz val="11"/>
      <scheme val="minor"/>
    </font>
    <font>
      <name val="Calibri"/>
      <b val="1"/>
      <color rgb="00FFFFFF"/>
      <sz val="17"/>
    </font>
    <font>
      <b val="1"/>
      <sz val="13"/>
    </font>
    <font>
      <name val="Calibri"/>
      <color rgb="00404040"/>
      <sz val="11"/>
    </font>
    <font>
      <color rgb="000563C1"/>
      <sz val="10"/>
      <u val="single"/>
    </font>
    <font>
      <name val="Calibri"/>
      <i val="1"/>
      <color rgb="00808080"/>
      <sz val="9"/>
    </font>
    <font>
      <name val="Calibri"/>
      <b val="1"/>
      <color rgb="00FFFFFF"/>
      <sz val="11"/>
    </font>
    <font>
      <name val="Calibri"/>
      <b val="1"/>
      <sz val="11"/>
    </font>
    <font>
      <name val="Calibri"/>
      <b val="1"/>
      <color rgb="001D5240"/>
      <sz val="11"/>
    </font>
    <font>
      <name val="Calibri"/>
      <b val="1"/>
      <sz val="14"/>
    </font>
    <font>
      <i val="1"/>
      <sz val="10.5"/>
    </font>
    <font>
      <b val="1"/>
    </font>
    <font>
      <color rgb="000563C1"/>
      <u val="single"/>
    </font>
  </fonts>
  <fills count="5">
    <fill>
      <patternFill/>
    </fill>
    <fill>
      <patternFill patternType="gray125"/>
    </fill>
    <fill>
      <patternFill patternType="solid">
        <fgColor rgb="001D5240"/>
      </patternFill>
    </fill>
    <fill>
      <patternFill patternType="solid">
        <fgColor rgb="00D6A532"/>
      </patternFill>
    </fill>
    <fill>
      <patternFill patternType="solid">
        <fgColor rgb="00FFF2CC"/>
      </patternFill>
    </fill>
  </fills>
  <borders count="2">
    <border>
      <left/>
      <right/>
      <top/>
      <bottom/>
      <diagonal/>
    </border>
    <border>
      <bottom style="hair">
        <color rgb="00D9D9D9"/>
      </bottom>
    </border>
  </borders>
  <cellStyleXfs count="1">
    <xf numFmtId="0" fontId="0" fillId="0" borderId="0"/>
  </cellStyleXfs>
  <cellXfs count="31">
    <xf numFmtId="0" fontId="0" fillId="0" borderId="0" pivotButton="0" quotePrefix="0" xfId="0"/>
    <xf numFmtId="0" fontId="1" fillId="2" borderId="0" applyAlignment="1" pivotButton="0" quotePrefix="0" xfId="0">
      <alignment vertical="center" indent="1"/>
    </xf>
    <xf numFmtId="0" fontId="0" fillId="3"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2" borderId="0" applyAlignment="1" pivotButton="0" quotePrefix="0" xfId="0">
      <alignment vertical="center" indent="1"/>
    </xf>
    <xf numFmtId="165" fontId="0" fillId="0" borderId="0" pivotButton="0" quotePrefix="0" xfId="0"/>
    <xf numFmtId="0" fontId="8" fillId="0" borderId="1" pivotButton="0" quotePrefix="0" xfId="0"/>
    <xf numFmtId="165" fontId="9" fillId="0" borderId="1" pivotButton="0" quotePrefix="0" xfId="0"/>
    <xf numFmtId="168" fontId="9" fillId="0" borderId="1" pivotButton="0" quotePrefix="0" xfId="0"/>
    <xf numFmtId="2" fontId="9" fillId="0" borderId="1" pivotButton="0" quotePrefix="0" xfId="0"/>
    <xf numFmtId="0" fontId="10" fillId="0" borderId="0" applyAlignment="1" pivotButton="0" quotePrefix="0" xfId="0">
      <alignment vertical="top" wrapText="1"/>
    </xf>
    <xf numFmtId="0" fontId="3" fillId="0" borderId="1" pivotButton="0" quotePrefix="0" xfId="0"/>
    <xf numFmtId="0" fontId="7" fillId="0" borderId="1" pivotButton="0" quotePrefix="0" xfId="0"/>
    <xf numFmtId="164" fontId="7" fillId="0" borderId="1" pivotButton="0" quotePrefix="0" xfId="0"/>
    <xf numFmtId="165" fontId="7" fillId="0" borderId="1" pivotButton="0" quotePrefix="0" xfId="0"/>
    <xf numFmtId="165" fontId="7" fillId="4" borderId="1" pivotButton="0" quotePrefix="0" xfId="0"/>
    <xf numFmtId="0" fontId="5" fillId="0" borderId="0" applyAlignment="1" pivotButton="0" quotePrefix="0" xfId="0">
      <alignment vertical="center" wrapText="1"/>
    </xf>
    <xf numFmtId="166" fontId="7" fillId="4" borderId="1" pivotButton="0" quotePrefix="0" xfId="0"/>
    <xf numFmtId="1" fontId="7" fillId="4" borderId="1" pivotButton="0" quotePrefix="0" xfId="0"/>
    <xf numFmtId="167" fontId="7" fillId="4" borderId="1" pivotButton="0" quotePrefix="0" xfId="0"/>
    <xf numFmtId="168" fontId="7" fillId="0" borderId="1" pivotButton="0" quotePrefix="0" xfId="0"/>
    <xf numFmtId="168" fontId="2" fillId="0" borderId="1" pivotButton="0" quotePrefix="0" xfId="0"/>
    <xf numFmtId="166" fontId="7" fillId="0" borderId="1" pivotButton="0" quotePrefix="0" xfId="0"/>
    <xf numFmtId="2" fontId="7" fillId="0" borderId="1" pivotButton="0" quotePrefix="0" xfId="0"/>
    <xf numFmtId="0" fontId="6" fillId="2" borderId="0" applyAlignment="1" pivotButton="0" quotePrefix="0" xfId="0">
      <alignment vertical="center" wrapText="1"/>
    </xf>
    <xf numFmtId="0" fontId="11" fillId="0" borderId="0" pivotButton="0" quotePrefix="0" xfId="0"/>
    <xf numFmtId="0" fontId="0" fillId="0" borderId="0" applyAlignment="1" pivotButton="0" quotePrefix="0" xfId="0">
      <alignment vertical="top" wrapText="1"/>
    </xf>
    <xf numFmtId="0" fontId="12" fillId="0" borderId="0" applyAlignment="1" pivotButton="0" quotePrefix="0" xfId="0">
      <alignment vertical="top" wrapText="1"/>
    </xf>
  </cellXfs>
  <cellStyles count="1">
    <cellStyle name="Normal" xfId="0" builtinId="0" hidden="0"/>
  </cellStyles>
  <dxfs count="2">
    <dxf>
      <fill>
        <patternFill patternType="solid">
          <fgColor rgb="00E2EFDA"/>
        </patternFill>
      </fill>
    </dxf>
    <dxf>
      <fill>
        <patternFill patternType="solid">
          <fgColor rgb="00FCE4E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harts/chart1.xml><?xml version="1.0" encoding="utf-8"?>
<chartSpace xmlns:a="http://schemas.openxmlformats.org/drawingml/2006/main" xmlns="http://schemas.openxmlformats.org/drawingml/2006/chart">
  <chart>
    <title>
      <tx>
        <rich>
          <a:bodyPr/>
          <a:p>
            <a:pPr>
              <a:defRPr/>
            </a:pPr>
            <a:r>
              <a:t>Le loyer paie-t-il le crédit ?</a:t>
            </a:r>
          </a:p>
        </rich>
      </tx>
    </title>
    <plotArea>
      <barChart>
        <barDir val="col"/>
        <grouping val="clustered"/>
        <ser>
          <idx val="0"/>
          <order val="0"/>
          <spPr>
            <a:solidFill>
              <a:srgbClr val="1D5240"/>
            </a:solidFill>
            <a:ln>
              <a:prstDash val="solid"/>
            </a:ln>
          </spPr>
          <cat>
            <numRef>
              <f>'Synthèse'!$E$7:$E$9</f>
            </numRef>
          </cat>
          <val>
            <numRef>
              <f>'Synthèse'!$F$7:$F$9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numFmt formatCode="#,##0&quot; €&quot;" sourceLinked="0"/>
        <majorTickMark val="none"/>
        <minorTickMark val="none"/>
        <crossAx val="10"/>
      </valAx>
    </plotArea>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Capital restant dû</a:t>
            </a:r>
          </a:p>
        </rich>
      </tx>
    </title>
    <plotArea>
      <lineChart>
        <grouping val="standard"/>
        <ser>
          <idx val="0"/>
          <order val="0"/>
          <spPr>
            <a:ln w="22000">
              <a:solidFill>
                <a:srgbClr val="1D5240"/>
              </a:solidFill>
              <a:prstDash val="solid"/>
            </a:ln>
          </spPr>
          <marker>
            <symbol val="none"/>
            <spPr>
              <a:ln>
                <a:prstDash val="solid"/>
              </a:ln>
            </spPr>
          </marker>
          <cat>
            <numRef>
              <f>'Amortissement'!$A$2:$A$31</f>
            </numRef>
          </cat>
          <val>
            <numRef>
              <f>'Amortissement'!$E$2:$E$31</f>
            </numRef>
          </val>
        </ser>
        <axId val="10"/>
        <axId val="100"/>
      </lineChart>
      <catAx>
        <axId val="10"/>
        <scaling>
          <orientation val="minMax"/>
        </scaling>
        <axPos val="l"/>
        <title>
          <tx>
            <rich>
              <a:bodyPr/>
              <a:p>
                <a:pPr>
                  <a:defRPr/>
                </a:pPr>
                <a:r>
                  <a:t>Année</a:t>
                </a:r>
              </a:p>
            </rich>
          </tx>
        </title>
        <majorTickMark val="none"/>
        <minorTickMark val="none"/>
        <crossAx val="100"/>
        <lblOffset val="100"/>
      </catAx>
      <valAx>
        <axId val="100"/>
        <scaling>
          <orientation val="minMax"/>
        </scaling>
        <axPos val="l"/>
        <majorGridlines/>
        <numFmt formatCode="#,##0&quot; €&quot;" sourceLinked="0"/>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10</row>
      <rowOff>0</rowOff>
    </from>
    <ext cx="4320000" cy="288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8</col>
      <colOff>0</colOff>
      <row>1</row>
      <rowOff>0</rowOff>
    </from>
    <ext cx="5760000" cy="324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cessionpme.com/annonce,immo-entreprise-achat-local-commercial-boutique-paris-11e-75011,2753574,A,offre.html" TargetMode="External" Id="rId1" /><Relationship Type="http://schemas.openxmlformats.org/officeDocument/2006/relationships/drawing" Target="/xl/drawings/drawing1.xml" Id="rId2"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3.xml.rels><Relationships xmlns="http://schemas.openxmlformats.org/package/2006/relationships"><Relationship Type="http://schemas.openxmlformats.org/officeDocument/2006/relationships/hyperlink" Target="https://www.cessionpme.com/annonce,immo-entreprise-achat-local-commercial-boutique-paris-11e-75011,2753574,A,offre.html" TargetMode="External" Id="rId1" /></Relationships>
</file>

<file path=xl/worksheets/sheet1.xml><?xml version="1.0" encoding="utf-8"?>
<worksheet xmlns="http://schemas.openxmlformats.org/spreadsheetml/2006/main">
  <sheetPr>
    <outlinePr summaryBelow="1" summaryRight="1"/>
    <pageSetUpPr fitToPage="1"/>
  </sheetPr>
  <dimension ref="A1:F58"/>
  <sheetViews>
    <sheetView showGridLines="0" workbookViewId="0">
      <selection activeCell="A1" sqref="A1"/>
    </sheetView>
  </sheetViews>
  <sheetFormatPr baseColWidth="8" defaultRowHeight="15"/>
  <cols>
    <col width="38" customWidth="1" min="1" max="1"/>
    <col width="17" customWidth="1" min="2" max="2"/>
    <col width="46" customWidth="1" min="3" max="3"/>
  </cols>
  <sheetData>
    <row r="1" ht="34" customHeight="1">
      <c r="A1" s="1" t="inlineStr">
        <is>
          <t>Les Murs.   Dossier de financement — murs commerciaux</t>
        </is>
      </c>
    </row>
    <row r="2" ht="3" customHeight="1">
      <c r="A2" s="2" t="n"/>
    </row>
    <row r="3">
      <c r="A3" s="3" t="inlineStr">
        <is>
          <t>AV murs commerciaux 51m² à Paris 11 Père-Lachaise</t>
        </is>
      </c>
    </row>
    <row r="4">
      <c r="A4" s="4" t="inlineStr">
        <is>
          <t>Paris 11e (75011) — annonce cessionpme du 2026-07-10</t>
        </is>
      </c>
      <c r="C4" s="5" t="inlineStr">
        <is>
          <t>Voir l'annonce en ligne ↗</t>
        </is>
      </c>
    </row>
    <row r="5">
      <c r="A5" s="6" t="inlineStr">
        <is>
          <t>Dossier généré le 28/10/2026 — indicatif, l'offre de prêt de la banque fait foi.</t>
        </is>
      </c>
    </row>
    <row r="7" ht="18" customHeight="1">
      <c r="A7" s="7" t="inlineStr">
        <is>
          <t>L'ESSENTIEL — ce que votre conseiller lit en premier</t>
        </is>
      </c>
      <c r="E7" s="6" t="inlineStr">
        <is>
          <t>Loyer mensuel</t>
        </is>
      </c>
      <c r="F7" s="8">
        <f>IFERROR(B20,0)</f>
        <v/>
      </c>
    </row>
    <row r="8">
      <c r="A8" s="9" t="inlineStr">
        <is>
          <t>Prix d'achat retenu</t>
        </is>
      </c>
      <c r="B8" s="10">
        <f>B26</f>
        <v/>
      </c>
      <c r="E8" s="6" t="inlineStr">
        <is>
          <t>Crédit + charges / mois</t>
        </is>
      </c>
      <c r="F8" s="8">
        <f>B39-(B44+B45+B46)/12</f>
        <v/>
      </c>
    </row>
    <row r="9">
      <c r="A9" s="9" t="inlineStr">
        <is>
          <t>Apport nécessaire</t>
        </is>
      </c>
      <c r="B9" s="10">
        <f>B37</f>
        <v/>
      </c>
      <c r="E9" s="6" t="inlineStr">
        <is>
          <t>Cash-flow</t>
        </is>
      </c>
      <c r="F9" s="8">
        <f>B50</f>
        <v/>
      </c>
    </row>
    <row r="10">
      <c r="A10" s="9" t="inlineStr">
        <is>
          <t>Mensualité de crédit estimée</t>
        </is>
      </c>
      <c r="B10" s="11">
        <f>B39</f>
        <v/>
      </c>
    </row>
    <row r="11">
      <c r="A11" s="9" t="inlineStr">
        <is>
          <t>Cash-flow mensuel attendu</t>
        </is>
      </c>
      <c r="B11" s="11">
        <f>B50</f>
        <v/>
      </c>
    </row>
    <row r="12">
      <c r="A12" s="9" t="inlineStr">
        <is>
          <t>DSCR (≥ 1,20 rassure)</t>
        </is>
      </c>
      <c r="B12" s="12">
        <f>B55</f>
        <v/>
      </c>
    </row>
    <row r="13">
      <c r="A13" s="13" t="inlineStr">
        <is>
          <t>EN CLAIR — Sur la base d'un loyer ESTIMÉ (pas de bail signé à ce stade) : aux hypothèses de ce dossier (apport 20 %, crédit 5,34 % sur 20 ans, charges provisionnées), il reste environ 122 €/mois à financer en plus du loyer — marge de négociation ou apport supplémentaire à prévoir.</t>
        </is>
      </c>
    </row>
    <row r="14"/>
    <row r="15" ht="18" customHeight="1">
      <c r="A15" s="7" t="inlineStr">
        <is>
          <t>LE BIEN</t>
        </is>
      </c>
    </row>
    <row r="16">
      <c r="A16" s="14" t="inlineStr">
        <is>
          <t>État locatif</t>
        </is>
      </c>
      <c r="B16" s="15" t="inlineStr">
        <is>
          <t>Murs libres — local à louer après l'achat</t>
        </is>
      </c>
    </row>
    <row r="17">
      <c r="A17" s="14" t="inlineStr">
        <is>
          <t>Surface</t>
        </is>
      </c>
      <c r="B17" s="16" t="n">
        <v>51</v>
      </c>
    </row>
    <row r="18">
      <c r="A18" s="14" t="inlineStr">
        <is>
          <t>Prix affiché</t>
        </is>
      </c>
      <c r="B18" s="17" t="n">
        <v>355000</v>
      </c>
    </row>
    <row r="19">
      <c r="A19" s="14" t="inlineStr">
        <is>
          <t>Prix au m²</t>
        </is>
      </c>
      <c r="B19" s="17">
        <f>IFERROR(B18/B17,"")</f>
        <v/>
      </c>
    </row>
    <row r="20">
      <c r="A20" s="14" t="inlineStr">
        <is>
          <t>Loyer mensuel HT</t>
        </is>
      </c>
      <c r="B20" s="18" t="n">
        <v>2291.18</v>
      </c>
      <c r="C20" s="19" t="inlineStr">
        <is>
          <t>ESTIMATION au loyer de marché local — aucun bail ne le garantit</t>
        </is>
      </c>
    </row>
    <row r="21">
      <c r="A21" s="14" t="inlineStr">
        <is>
          <t>Marché local (prix/m²)</t>
        </is>
      </c>
      <c r="B21" s="15" t="inlineStr">
        <is>
          <t>4 468 à 9 878 €/m²</t>
        </is>
      </c>
      <c r="C21" s="19" t="inlineStr">
        <is>
          <t>ce bien est 1 % SOUS la médiane locale</t>
        </is>
      </c>
    </row>
    <row r="22">
      <c r="A22" s="14" t="inlineStr">
        <is>
          <t>Source de la fourchette</t>
        </is>
      </c>
      <c r="B22" s="15" t="inlineStr">
        <is>
          <t>572 ventes réelles 2023-2025 (DVF)</t>
        </is>
      </c>
      <c r="C22" s="19" t="inlineStr">
        <is>
          <t>DVF = prix réellement payés, enregistrés chez le notaire (data.gouv.fr)</t>
        </is>
      </c>
    </row>
    <row r="23">
      <c r="A23" s="14" t="inlineStr">
        <is>
          <t>Évolution du prix demandé</t>
        </is>
      </c>
      <c r="B23" s="15" t="inlineStr">
        <is>
          <t>379 000 € (10/07) → 355 000 € (07/09)  —  −6.3 % depuis la première vue</t>
        </is>
      </c>
      <c r="C23" s="19" t="inlineStr">
        <is>
          <t>un prix qui baisse est un levier de négociation documenté</t>
        </is>
      </c>
    </row>
    <row r="25" ht="18" customHeight="1">
      <c r="A25" s="7" t="inlineStr">
        <is>
          <t>HYPOTHÈSES — cellules jaunes à ajuster avec votre conseiller</t>
        </is>
      </c>
    </row>
    <row r="26">
      <c r="A26" s="14" t="inlineStr">
        <is>
          <t>Prix négocié retenu</t>
        </is>
      </c>
      <c r="B26" s="18" t="n">
        <v>355000</v>
      </c>
      <c r="C26" s="19" t="inlineStr">
        <is>
          <t>par défaut le prix affiché — un prix demandé se négocie</t>
        </is>
      </c>
    </row>
    <row r="27">
      <c r="A27" s="14" t="inlineStr">
        <is>
          <t>Frais d'acquisition (notaire, garanties)</t>
        </is>
      </c>
      <c r="B27" s="20" t="n">
        <v>0.08</v>
      </c>
    </row>
    <row r="28">
      <c r="A28" s="14" t="inlineStr">
        <is>
          <t>Apport personnel</t>
        </is>
      </c>
      <c r="B28" s="20" t="n">
        <v>0.2</v>
      </c>
    </row>
    <row r="29">
      <c r="A29" s="14" t="inlineStr">
        <is>
          <t>Taux du crédit (hors assurance)</t>
        </is>
      </c>
      <c r="B29" s="20" t="n">
        <v>0.0534</v>
      </c>
    </row>
    <row r="30">
      <c r="A30" s="14" t="inlineStr">
        <is>
          <t>Durée du crédit (années)</t>
        </is>
      </c>
      <c r="B30" s="21" t="n">
        <v>20</v>
      </c>
    </row>
    <row r="31">
      <c r="A31" s="14" t="inlineStr">
        <is>
          <t>Taxe foncière (en mois de loyer par an)</t>
        </is>
      </c>
      <c r="B31" s="22" t="n">
        <v>1</v>
      </c>
      <c r="C31" s="19" t="inlineStr">
        <is>
          <t>à remplacer par le montant réel dès que connu</t>
        </is>
      </c>
    </row>
    <row r="32">
      <c r="A32" s="14" t="inlineStr">
        <is>
          <t>Provision entretien &amp; vacance (% du loyer)</t>
        </is>
      </c>
      <c r="B32" s="20" t="n">
        <v>0.05</v>
      </c>
    </row>
    <row r="33">
      <c r="A33" s="14" t="inlineStr">
        <is>
          <t>Assurance propriétaire (PNO, €/an)</t>
        </is>
      </c>
      <c r="B33" s="18" t="n">
        <v>300</v>
      </c>
    </row>
    <row r="35" ht="18" customHeight="1">
      <c r="A35" s="7" t="inlineStr">
        <is>
          <t>PLAN DE FINANCEMENT</t>
        </is>
      </c>
    </row>
    <row r="36">
      <c r="A36" s="14" t="inlineStr">
        <is>
          <t>Coût d'acquisition total</t>
        </is>
      </c>
      <c r="B36" s="17">
        <f>B26*(1+B27)</f>
        <v/>
      </c>
      <c r="C36" s="19" t="inlineStr">
        <is>
          <t>prix négocié + frais d'acquisition</t>
        </is>
      </c>
    </row>
    <row r="37">
      <c r="A37" s="14" t="inlineStr">
        <is>
          <t>Apport personnel</t>
        </is>
      </c>
      <c r="B37" s="17">
        <f>B36*B28</f>
        <v/>
      </c>
    </row>
    <row r="38">
      <c r="A38" s="14" t="inlineStr">
        <is>
          <t>Montant emprunté</t>
        </is>
      </c>
      <c r="B38" s="17">
        <f>B36-B37</f>
        <v/>
      </c>
    </row>
    <row r="39">
      <c r="A39" s="14" t="inlineStr">
        <is>
          <t>Mensualité du crédit</t>
        </is>
      </c>
      <c r="B39" s="23">
        <f>IFERROR(-PMT(B29/12,B30*12,B38),0)</f>
        <v/>
      </c>
    </row>
    <row r="40">
      <c r="A40" s="14" t="inlineStr">
        <is>
          <t>Service de la dette (annuel)</t>
        </is>
      </c>
      <c r="B40" s="17">
        <f>B39*12</f>
        <v/>
      </c>
    </row>
    <row r="42" ht="18" customHeight="1">
      <c r="A42" s="7" t="inlineStr">
        <is>
          <t>EXPLOITATION ANNUELLE</t>
        </is>
      </c>
    </row>
    <row r="43">
      <c r="A43" s="14" t="inlineStr">
        <is>
          <t>Loyers annuels HT</t>
        </is>
      </c>
      <c r="B43" s="17">
        <f>IFERROR(B20*12,0)</f>
        <v/>
      </c>
    </row>
    <row r="44">
      <c r="A44" s="14" t="inlineStr">
        <is>
          <t>− Taxe foncière</t>
        </is>
      </c>
      <c r="B44" s="17">
        <f>-IFERROR(B20*B31,0)</f>
        <v/>
      </c>
    </row>
    <row r="45">
      <c r="A45" s="14" t="inlineStr">
        <is>
          <t>− Entretien &amp; vacance locative</t>
        </is>
      </c>
      <c r="B45" s="17">
        <f>-B43*B32</f>
        <v/>
      </c>
    </row>
    <row r="46">
      <c r="A46" s="14" t="inlineStr">
        <is>
          <t>− Assurance PNO</t>
        </is>
      </c>
      <c r="B46" s="17">
        <f>-B33</f>
        <v/>
      </c>
    </row>
    <row r="47">
      <c r="A47" s="14" t="inlineStr">
        <is>
          <t>Revenu net avant crédit</t>
        </is>
      </c>
      <c r="B47" s="17">
        <f>B43+B44+B45+B46</f>
        <v/>
      </c>
    </row>
    <row r="48">
      <c r="A48" s="14" t="inlineStr">
        <is>
          <t>− Remboursement du crédit</t>
        </is>
      </c>
      <c r="B48" s="17">
        <f>-B40</f>
        <v/>
      </c>
    </row>
    <row r="49">
      <c r="A49" s="14" t="inlineStr">
        <is>
          <t>Cash-flow annuel</t>
        </is>
      </c>
      <c r="B49" s="17">
        <f>B47-B40</f>
        <v/>
      </c>
    </row>
    <row r="50">
      <c r="A50" s="14" t="inlineStr">
        <is>
          <t>Cash-flow mensuel</t>
        </is>
      </c>
      <c r="B50" s="24">
        <f>B49/12</f>
        <v/>
      </c>
      <c r="C50" s="19" t="inlineStr">
        <is>
          <t>positif : le bien se paie tout seul, loyer ≥ crédit + charges</t>
        </is>
      </c>
    </row>
    <row r="52" ht="18" customHeight="1">
      <c r="A52" s="7" t="inlineStr">
        <is>
          <t>LES RATIOS QUE REGARDE LE BANQUIER</t>
        </is>
      </c>
    </row>
    <row r="53">
      <c r="A53" s="14" t="inlineStr">
        <is>
          <t>Rendement brut</t>
        </is>
      </c>
      <c r="B53" s="25">
        <f>IFERROR(B43/B26,"")</f>
        <v/>
      </c>
      <c r="C53" s="19" t="inlineStr">
        <is>
          <t>loyer annuel ÷ prix — la base de comparaison des biens</t>
        </is>
      </c>
    </row>
    <row r="54">
      <c r="A54" s="14" t="inlineStr">
        <is>
          <t>Rendement net avant crédit</t>
        </is>
      </c>
      <c r="B54" s="25">
        <f>IFERROR(B47/B36,"")</f>
        <v/>
      </c>
      <c r="C54" s="19" t="inlineStr">
        <is>
          <t>après taxe foncière, entretien et assurance</t>
        </is>
      </c>
    </row>
    <row r="55">
      <c r="A55" s="14" t="inlineStr">
        <is>
          <t>DSCR — couverture de la dette</t>
        </is>
      </c>
      <c r="B55" s="26">
        <f>IFERROR(B47/B40,"")</f>
        <v/>
      </c>
      <c r="C55" s="19" t="inlineStr">
        <is>
          <t>revenu net ÷ crédit : ≥ 1,20 rassure une banque</t>
        </is>
      </c>
    </row>
    <row r="56">
      <c r="A56" s="14" t="inlineStr">
        <is>
          <t>LTV — part financée par la banque</t>
        </is>
      </c>
      <c r="B56" s="25">
        <f>IFERROR(B38/B26,"")</f>
        <v/>
      </c>
      <c r="C56" s="19" t="inlineStr">
        <is>
          <t>≤ 80 % est la zone de confort bancaire</t>
        </is>
      </c>
    </row>
    <row r="57">
      <c r="A57" s="14" t="inlineStr">
        <is>
          <t>Effort d'épargne mensuel si négatif</t>
        </is>
      </c>
      <c r="B57" s="23">
        <f>MAX(0,-B49/12)</f>
        <v/>
      </c>
    </row>
    <row r="58">
      <c r="A58" s="14" t="inlineStr">
        <is>
          <t>Score de l'outil de veille</t>
        </is>
      </c>
      <c r="B58" s="15" t="inlineStr">
        <is>
          <t>68/100</t>
        </is>
      </c>
      <c r="C58" s="19" t="inlineStr">
        <is>
          <t>rendement, emplacement, prix vs marché, financement, fiscalité</t>
        </is>
      </c>
    </row>
  </sheetData>
  <mergeCells count="11">
    <mergeCell ref="A4:B4"/>
    <mergeCell ref="A25:C25"/>
    <mergeCell ref="A42:C42"/>
    <mergeCell ref="A1:C1"/>
    <mergeCell ref="A3:C3"/>
    <mergeCell ref="A13:C14"/>
    <mergeCell ref="A35:C35"/>
    <mergeCell ref="A15:C15"/>
    <mergeCell ref="A7:C7"/>
    <mergeCell ref="A2:C2"/>
    <mergeCell ref="A52:C52"/>
  </mergeCells>
  <conditionalFormatting sqref="B49">
    <cfRule type="cellIs" priority="1" operator="greaterThanOrEqual" dxfId="0">
      <formula>0</formula>
    </cfRule>
    <cfRule type="cellIs" priority="2" operator="lessThan" dxfId="1">
      <formula>0</formula>
    </cfRule>
  </conditionalFormatting>
  <conditionalFormatting sqref="B50">
    <cfRule type="cellIs" priority="3" operator="greaterThanOrEqual" dxfId="0">
      <formula>0</formula>
    </cfRule>
    <cfRule type="cellIs" priority="4" operator="lessThan" dxfId="1">
      <formula>0</formula>
    </cfRule>
  </conditionalFormatting>
  <conditionalFormatting sqref="B55">
    <cfRule type="cellIs" priority="5" operator="greaterThanOrEqual" dxfId="0">
      <formula>1.2</formula>
    </cfRule>
    <cfRule type="cellIs" priority="6" operator="lessThan" dxfId="1">
      <formula>1</formula>
    </cfRule>
  </conditionalFormatting>
  <conditionalFormatting sqref="B11">
    <cfRule type="cellIs" priority="7" operator="greaterThanOrEqual" dxfId="0">
      <formula>0</formula>
    </cfRule>
    <cfRule type="cellIs" priority="8" operator="lessThan" dxfId="1">
      <formula>0</formula>
    </cfRule>
  </conditionalFormatting>
  <hyperlinks>
    <hyperlink xmlns:r="http://schemas.openxmlformats.org/officeDocument/2006/relationships" ref="C4" r:id="rId1"/>
  </hyperlinks>
  <pageMargins left="0.75" right="0.75" top="1" bottom="1" header="0.5" footer="0.5"/>
  <pageSetup orientation="portrait" fitToHeight="0" fitToWidth="1"/>
  <headerFooter>
    <oddHeader/>
    <oddFooter>&amp;C&amp;8 Les Murs. — dossier indicatif généré automatiquement ; l'offre de prêt de la banque fait foi</oddFooter>
    <evenHeader/>
    <evenFooter/>
    <firstHeader/>
    <firstFooter/>
  </headerFooter>
  <drawing xmlns:r="http://schemas.openxmlformats.org/officeDocument/2006/relationships" r:id="rId2"/>
</worksheet>
</file>

<file path=xl/worksheets/sheet2.xml><?xml version="1.0" encoding="utf-8"?>
<worksheet xmlns="http://schemas.openxmlformats.org/spreadsheetml/2006/main">
  <sheetPr>
    <outlinePr summaryBelow="1" summaryRight="1"/>
    <pageSetUpPr/>
  </sheetPr>
  <dimension ref="A1:G31"/>
  <sheetViews>
    <sheetView showGridLines="0"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hidden="1" width="13" customWidth="1" min="7" max="7"/>
  </cols>
  <sheetData>
    <row r="1">
      <c r="A1" s="27" t="inlineStr">
        <is>
          <t>Année</t>
        </is>
      </c>
      <c r="B1" s="27" t="inlineStr">
        <is>
          <t>Capital dû en début d'année</t>
        </is>
      </c>
      <c r="C1" s="27" t="inlineStr">
        <is>
          <t>Intérêts de l'année</t>
        </is>
      </c>
      <c r="D1" s="27" t="inlineStr">
        <is>
          <t>Capital remboursé</t>
        </is>
      </c>
      <c r="E1" s="27" t="inlineStr">
        <is>
          <t>Capital restant dû</t>
        </is>
      </c>
      <c r="G1">
        <f>'Synthèse'!B30</f>
        <v/>
      </c>
    </row>
    <row r="2">
      <c r="A2" t="n">
        <v>1</v>
      </c>
      <c r="B2" s="8">
        <f>IF(A2&lt;=$G$1,'Synthèse'!$B$38,"")</f>
        <v/>
      </c>
      <c r="C2" s="8">
        <f>IF(A2&lt;=$G$1,B2*$G$2,"")</f>
        <v/>
      </c>
      <c r="D2" s="8">
        <f>IF(A2&lt;=$G$1,MIN(B2,$G$3-C2),"")</f>
        <v/>
      </c>
      <c r="E2" s="8">
        <f>IF(A2&lt;=$G$1,MAX(0,B2-D2),"")</f>
        <v/>
      </c>
      <c r="F2" s="6" t="inlineStr">
        <is>
          <t>Tableau indicatif (pas annuel) — l'offre de prêt de la banque fait foi.</t>
        </is>
      </c>
      <c r="G2">
        <f>'Synthèse'!B29</f>
        <v/>
      </c>
    </row>
    <row r="3">
      <c r="A3" t="n">
        <v>2</v>
      </c>
      <c r="B3" s="8">
        <f>IF(A3&lt;=$G$1,E2,"")</f>
        <v/>
      </c>
      <c r="C3" s="8">
        <f>IF(A3&lt;=$G$1,B3*$G$2,"")</f>
        <v/>
      </c>
      <c r="D3" s="8">
        <f>IF(A3&lt;=$G$1,MIN(B3,$G$3-C3),"")</f>
        <v/>
      </c>
      <c r="E3" s="8">
        <f>IF(A3&lt;=$G$1,MAX(0,B3-D3),"")</f>
        <v/>
      </c>
      <c r="G3">
        <f>'Synthèse'!B40</f>
        <v/>
      </c>
    </row>
    <row r="4">
      <c r="A4" t="n">
        <v>3</v>
      </c>
      <c r="B4" s="8">
        <f>IF(A4&lt;=$G$1,E3,"")</f>
        <v/>
      </c>
      <c r="C4" s="8">
        <f>IF(A4&lt;=$G$1,B4*$G$2,"")</f>
        <v/>
      </c>
      <c r="D4" s="8">
        <f>IF(A4&lt;=$G$1,MIN(B4,$G$3-C4),"")</f>
        <v/>
      </c>
      <c r="E4" s="8">
        <f>IF(A4&lt;=$G$1,MAX(0,B4-D4),"")</f>
        <v/>
      </c>
    </row>
    <row r="5">
      <c r="A5" t="n">
        <v>4</v>
      </c>
      <c r="B5" s="8">
        <f>IF(A5&lt;=$G$1,E4,"")</f>
        <v/>
      </c>
      <c r="C5" s="8">
        <f>IF(A5&lt;=$G$1,B5*$G$2,"")</f>
        <v/>
      </c>
      <c r="D5" s="8">
        <f>IF(A5&lt;=$G$1,MIN(B5,$G$3-C5),"")</f>
        <v/>
      </c>
      <c r="E5" s="8">
        <f>IF(A5&lt;=$G$1,MAX(0,B5-D5),"")</f>
        <v/>
      </c>
    </row>
    <row r="6">
      <c r="A6" t="n">
        <v>5</v>
      </c>
      <c r="B6" s="8">
        <f>IF(A6&lt;=$G$1,E5,"")</f>
        <v/>
      </c>
      <c r="C6" s="8">
        <f>IF(A6&lt;=$G$1,B6*$G$2,"")</f>
        <v/>
      </c>
      <c r="D6" s="8">
        <f>IF(A6&lt;=$G$1,MIN(B6,$G$3-C6),"")</f>
        <v/>
      </c>
      <c r="E6" s="8">
        <f>IF(A6&lt;=$G$1,MAX(0,B6-D6),"")</f>
        <v/>
      </c>
    </row>
    <row r="7">
      <c r="A7" t="n">
        <v>6</v>
      </c>
      <c r="B7" s="8">
        <f>IF(A7&lt;=$G$1,E6,"")</f>
        <v/>
      </c>
      <c r="C7" s="8">
        <f>IF(A7&lt;=$G$1,B7*$G$2,"")</f>
        <v/>
      </c>
      <c r="D7" s="8">
        <f>IF(A7&lt;=$G$1,MIN(B7,$G$3-C7),"")</f>
        <v/>
      </c>
      <c r="E7" s="8">
        <f>IF(A7&lt;=$G$1,MAX(0,B7-D7),"")</f>
        <v/>
      </c>
    </row>
    <row r="8">
      <c r="A8" t="n">
        <v>7</v>
      </c>
      <c r="B8" s="8">
        <f>IF(A8&lt;=$G$1,E7,"")</f>
        <v/>
      </c>
      <c r="C8" s="8">
        <f>IF(A8&lt;=$G$1,B8*$G$2,"")</f>
        <v/>
      </c>
      <c r="D8" s="8">
        <f>IF(A8&lt;=$G$1,MIN(B8,$G$3-C8),"")</f>
        <v/>
      </c>
      <c r="E8" s="8">
        <f>IF(A8&lt;=$G$1,MAX(0,B8-D8),"")</f>
        <v/>
      </c>
    </row>
    <row r="9">
      <c r="A9" t="n">
        <v>8</v>
      </c>
      <c r="B9" s="8">
        <f>IF(A9&lt;=$G$1,E8,"")</f>
        <v/>
      </c>
      <c r="C9" s="8">
        <f>IF(A9&lt;=$G$1,B9*$G$2,"")</f>
        <v/>
      </c>
      <c r="D9" s="8">
        <f>IF(A9&lt;=$G$1,MIN(B9,$G$3-C9),"")</f>
        <v/>
      </c>
      <c r="E9" s="8">
        <f>IF(A9&lt;=$G$1,MAX(0,B9-D9),"")</f>
        <v/>
      </c>
    </row>
    <row r="10">
      <c r="A10" t="n">
        <v>9</v>
      </c>
      <c r="B10" s="8">
        <f>IF(A10&lt;=$G$1,E9,"")</f>
        <v/>
      </c>
      <c r="C10" s="8">
        <f>IF(A10&lt;=$G$1,B10*$G$2,"")</f>
        <v/>
      </c>
      <c r="D10" s="8">
        <f>IF(A10&lt;=$G$1,MIN(B10,$G$3-C10),"")</f>
        <v/>
      </c>
      <c r="E10" s="8">
        <f>IF(A10&lt;=$G$1,MAX(0,B10-D10),"")</f>
        <v/>
      </c>
    </row>
    <row r="11">
      <c r="A11" t="n">
        <v>10</v>
      </c>
      <c r="B11" s="8">
        <f>IF(A11&lt;=$G$1,E10,"")</f>
        <v/>
      </c>
      <c r="C11" s="8">
        <f>IF(A11&lt;=$G$1,B11*$G$2,"")</f>
        <v/>
      </c>
      <c r="D11" s="8">
        <f>IF(A11&lt;=$G$1,MIN(B11,$G$3-C11),"")</f>
        <v/>
      </c>
      <c r="E11" s="8">
        <f>IF(A11&lt;=$G$1,MAX(0,B11-D11),"")</f>
        <v/>
      </c>
    </row>
    <row r="12">
      <c r="A12" t="n">
        <v>11</v>
      </c>
      <c r="B12" s="8">
        <f>IF(A12&lt;=$G$1,E11,"")</f>
        <v/>
      </c>
      <c r="C12" s="8">
        <f>IF(A12&lt;=$G$1,B12*$G$2,"")</f>
        <v/>
      </c>
      <c r="D12" s="8">
        <f>IF(A12&lt;=$G$1,MIN(B12,$G$3-C12),"")</f>
        <v/>
      </c>
      <c r="E12" s="8">
        <f>IF(A12&lt;=$G$1,MAX(0,B12-D12),"")</f>
        <v/>
      </c>
    </row>
    <row r="13">
      <c r="A13" t="n">
        <v>12</v>
      </c>
      <c r="B13" s="8">
        <f>IF(A13&lt;=$G$1,E12,"")</f>
        <v/>
      </c>
      <c r="C13" s="8">
        <f>IF(A13&lt;=$G$1,B13*$G$2,"")</f>
        <v/>
      </c>
      <c r="D13" s="8">
        <f>IF(A13&lt;=$G$1,MIN(B13,$G$3-C13),"")</f>
        <v/>
      </c>
      <c r="E13" s="8">
        <f>IF(A13&lt;=$G$1,MAX(0,B13-D13),"")</f>
        <v/>
      </c>
    </row>
    <row r="14">
      <c r="A14" t="n">
        <v>13</v>
      </c>
      <c r="B14" s="8">
        <f>IF(A14&lt;=$G$1,E13,"")</f>
        <v/>
      </c>
      <c r="C14" s="8">
        <f>IF(A14&lt;=$G$1,B14*$G$2,"")</f>
        <v/>
      </c>
      <c r="D14" s="8">
        <f>IF(A14&lt;=$G$1,MIN(B14,$G$3-C14),"")</f>
        <v/>
      </c>
      <c r="E14" s="8">
        <f>IF(A14&lt;=$G$1,MAX(0,B14-D14),"")</f>
        <v/>
      </c>
    </row>
    <row r="15">
      <c r="A15" t="n">
        <v>14</v>
      </c>
      <c r="B15" s="8">
        <f>IF(A15&lt;=$G$1,E14,"")</f>
        <v/>
      </c>
      <c r="C15" s="8">
        <f>IF(A15&lt;=$G$1,B15*$G$2,"")</f>
        <v/>
      </c>
      <c r="D15" s="8">
        <f>IF(A15&lt;=$G$1,MIN(B15,$G$3-C15),"")</f>
        <v/>
      </c>
      <c r="E15" s="8">
        <f>IF(A15&lt;=$G$1,MAX(0,B15-D15),"")</f>
        <v/>
      </c>
    </row>
    <row r="16">
      <c r="A16" t="n">
        <v>15</v>
      </c>
      <c r="B16" s="8">
        <f>IF(A16&lt;=$G$1,E15,"")</f>
        <v/>
      </c>
      <c r="C16" s="8">
        <f>IF(A16&lt;=$G$1,B16*$G$2,"")</f>
        <v/>
      </c>
      <c r="D16" s="8">
        <f>IF(A16&lt;=$G$1,MIN(B16,$G$3-C16),"")</f>
        <v/>
      </c>
      <c r="E16" s="8">
        <f>IF(A16&lt;=$G$1,MAX(0,B16-D16),"")</f>
        <v/>
      </c>
    </row>
    <row r="17">
      <c r="A17" t="n">
        <v>16</v>
      </c>
      <c r="B17" s="8">
        <f>IF(A17&lt;=$G$1,E16,"")</f>
        <v/>
      </c>
      <c r="C17" s="8">
        <f>IF(A17&lt;=$G$1,B17*$G$2,"")</f>
        <v/>
      </c>
      <c r="D17" s="8">
        <f>IF(A17&lt;=$G$1,MIN(B17,$G$3-C17),"")</f>
        <v/>
      </c>
      <c r="E17" s="8">
        <f>IF(A17&lt;=$G$1,MAX(0,B17-D17),"")</f>
        <v/>
      </c>
    </row>
    <row r="18">
      <c r="A18" t="n">
        <v>17</v>
      </c>
      <c r="B18" s="8">
        <f>IF(A18&lt;=$G$1,E17,"")</f>
        <v/>
      </c>
      <c r="C18" s="8">
        <f>IF(A18&lt;=$G$1,B18*$G$2,"")</f>
        <v/>
      </c>
      <c r="D18" s="8">
        <f>IF(A18&lt;=$G$1,MIN(B18,$G$3-C18),"")</f>
        <v/>
      </c>
      <c r="E18" s="8">
        <f>IF(A18&lt;=$G$1,MAX(0,B18-D18),"")</f>
        <v/>
      </c>
    </row>
    <row r="19">
      <c r="A19" t="n">
        <v>18</v>
      </c>
      <c r="B19" s="8">
        <f>IF(A19&lt;=$G$1,E18,"")</f>
        <v/>
      </c>
      <c r="C19" s="8">
        <f>IF(A19&lt;=$G$1,B19*$G$2,"")</f>
        <v/>
      </c>
      <c r="D19" s="8">
        <f>IF(A19&lt;=$G$1,MIN(B19,$G$3-C19),"")</f>
        <v/>
      </c>
      <c r="E19" s="8">
        <f>IF(A19&lt;=$G$1,MAX(0,B19-D19),"")</f>
        <v/>
      </c>
    </row>
    <row r="20">
      <c r="A20" t="n">
        <v>19</v>
      </c>
      <c r="B20" s="8">
        <f>IF(A20&lt;=$G$1,E19,"")</f>
        <v/>
      </c>
      <c r="C20" s="8">
        <f>IF(A20&lt;=$G$1,B20*$G$2,"")</f>
        <v/>
      </c>
      <c r="D20" s="8">
        <f>IF(A20&lt;=$G$1,MIN(B20,$G$3-C20),"")</f>
        <v/>
      </c>
      <c r="E20" s="8">
        <f>IF(A20&lt;=$G$1,MAX(0,B20-D20),"")</f>
        <v/>
      </c>
    </row>
    <row r="21">
      <c r="A21" t="n">
        <v>20</v>
      </c>
      <c r="B21" s="8">
        <f>IF(A21&lt;=$G$1,E20,"")</f>
        <v/>
      </c>
      <c r="C21" s="8">
        <f>IF(A21&lt;=$G$1,B21*$G$2,"")</f>
        <v/>
      </c>
      <c r="D21" s="8">
        <f>IF(A21&lt;=$G$1,MIN(B21,$G$3-C21),"")</f>
        <v/>
      </c>
      <c r="E21" s="8">
        <f>IF(A21&lt;=$G$1,MAX(0,B21-D21),"")</f>
        <v/>
      </c>
    </row>
    <row r="22">
      <c r="A22" t="n">
        <v>21</v>
      </c>
      <c r="B22" s="8">
        <f>IF(A22&lt;=$G$1,E21,"")</f>
        <v/>
      </c>
      <c r="C22" s="8">
        <f>IF(A22&lt;=$G$1,B22*$G$2,"")</f>
        <v/>
      </c>
      <c r="D22" s="8">
        <f>IF(A22&lt;=$G$1,MIN(B22,$G$3-C22),"")</f>
        <v/>
      </c>
      <c r="E22" s="8">
        <f>IF(A22&lt;=$G$1,MAX(0,B22-D22),"")</f>
        <v/>
      </c>
    </row>
    <row r="23">
      <c r="A23" t="n">
        <v>22</v>
      </c>
      <c r="B23" s="8">
        <f>IF(A23&lt;=$G$1,E22,"")</f>
        <v/>
      </c>
      <c r="C23" s="8">
        <f>IF(A23&lt;=$G$1,B23*$G$2,"")</f>
        <v/>
      </c>
      <c r="D23" s="8">
        <f>IF(A23&lt;=$G$1,MIN(B23,$G$3-C23),"")</f>
        <v/>
      </c>
      <c r="E23" s="8">
        <f>IF(A23&lt;=$G$1,MAX(0,B23-D23),"")</f>
        <v/>
      </c>
    </row>
    <row r="24">
      <c r="A24" t="n">
        <v>23</v>
      </c>
      <c r="B24" s="8">
        <f>IF(A24&lt;=$G$1,E23,"")</f>
        <v/>
      </c>
      <c r="C24" s="8">
        <f>IF(A24&lt;=$G$1,B24*$G$2,"")</f>
        <v/>
      </c>
      <c r="D24" s="8">
        <f>IF(A24&lt;=$G$1,MIN(B24,$G$3-C24),"")</f>
        <v/>
      </c>
      <c r="E24" s="8">
        <f>IF(A24&lt;=$G$1,MAX(0,B24-D24),"")</f>
        <v/>
      </c>
    </row>
    <row r="25">
      <c r="A25" t="n">
        <v>24</v>
      </c>
      <c r="B25" s="8">
        <f>IF(A25&lt;=$G$1,E24,"")</f>
        <v/>
      </c>
      <c r="C25" s="8">
        <f>IF(A25&lt;=$G$1,B25*$G$2,"")</f>
        <v/>
      </c>
      <c r="D25" s="8">
        <f>IF(A25&lt;=$G$1,MIN(B25,$G$3-C25),"")</f>
        <v/>
      </c>
      <c r="E25" s="8">
        <f>IF(A25&lt;=$G$1,MAX(0,B25-D25),"")</f>
        <v/>
      </c>
    </row>
    <row r="26">
      <c r="A26" t="n">
        <v>25</v>
      </c>
      <c r="B26" s="8">
        <f>IF(A26&lt;=$G$1,E25,"")</f>
        <v/>
      </c>
      <c r="C26" s="8">
        <f>IF(A26&lt;=$G$1,B26*$G$2,"")</f>
        <v/>
      </c>
      <c r="D26" s="8">
        <f>IF(A26&lt;=$G$1,MIN(B26,$G$3-C26),"")</f>
        <v/>
      </c>
      <c r="E26" s="8">
        <f>IF(A26&lt;=$G$1,MAX(0,B26-D26),"")</f>
        <v/>
      </c>
    </row>
    <row r="27">
      <c r="A27" t="n">
        <v>26</v>
      </c>
      <c r="B27" s="8">
        <f>IF(A27&lt;=$G$1,E26,"")</f>
        <v/>
      </c>
      <c r="C27" s="8">
        <f>IF(A27&lt;=$G$1,B27*$G$2,"")</f>
        <v/>
      </c>
      <c r="D27" s="8">
        <f>IF(A27&lt;=$G$1,MIN(B27,$G$3-C27),"")</f>
        <v/>
      </c>
      <c r="E27" s="8">
        <f>IF(A27&lt;=$G$1,MAX(0,B27-D27),"")</f>
        <v/>
      </c>
    </row>
    <row r="28">
      <c r="A28" t="n">
        <v>27</v>
      </c>
      <c r="B28" s="8">
        <f>IF(A28&lt;=$G$1,E27,"")</f>
        <v/>
      </c>
      <c r="C28" s="8">
        <f>IF(A28&lt;=$G$1,B28*$G$2,"")</f>
        <v/>
      </c>
      <c r="D28" s="8">
        <f>IF(A28&lt;=$G$1,MIN(B28,$G$3-C28),"")</f>
        <v/>
      </c>
      <c r="E28" s="8">
        <f>IF(A28&lt;=$G$1,MAX(0,B28-D28),"")</f>
        <v/>
      </c>
    </row>
    <row r="29">
      <c r="A29" t="n">
        <v>28</v>
      </c>
      <c r="B29" s="8">
        <f>IF(A29&lt;=$G$1,E28,"")</f>
        <v/>
      </c>
      <c r="C29" s="8">
        <f>IF(A29&lt;=$G$1,B29*$G$2,"")</f>
        <v/>
      </c>
      <c r="D29" s="8">
        <f>IF(A29&lt;=$G$1,MIN(B29,$G$3-C29),"")</f>
        <v/>
      </c>
      <c r="E29" s="8">
        <f>IF(A29&lt;=$G$1,MAX(0,B29-D29),"")</f>
        <v/>
      </c>
    </row>
    <row r="30">
      <c r="A30" t="n">
        <v>29</v>
      </c>
      <c r="B30" s="8">
        <f>IF(A30&lt;=$G$1,E29,"")</f>
        <v/>
      </c>
      <c r="C30" s="8">
        <f>IF(A30&lt;=$G$1,B30*$G$2,"")</f>
        <v/>
      </c>
      <c r="D30" s="8">
        <f>IF(A30&lt;=$G$1,MIN(B30,$G$3-C30),"")</f>
        <v/>
      </c>
      <c r="E30" s="8">
        <f>IF(A30&lt;=$G$1,MAX(0,B30-D30),"")</f>
        <v/>
      </c>
    </row>
    <row r="31">
      <c r="A31" t="n">
        <v>30</v>
      </c>
      <c r="B31" s="8">
        <f>IF(A31&lt;=$G$1,E30,"")</f>
        <v/>
      </c>
      <c r="C31" s="8">
        <f>IF(A31&lt;=$G$1,B31*$G$2,"")</f>
        <v/>
      </c>
      <c r="D31" s="8">
        <f>IF(A31&lt;=$G$1,MIN(B31,$G$3-C31),"")</f>
        <v/>
      </c>
      <c r="E31" s="8">
        <f>IF(A31&lt;=$G$1,MAX(0,B31-D31),"")</f>
        <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B12"/>
  <sheetViews>
    <sheetView showGridLines="0" workbookViewId="0">
      <selection activeCell="A1" sqref="A1"/>
    </sheetView>
  </sheetViews>
  <sheetFormatPr baseColWidth="8" defaultRowHeight="15"/>
  <cols>
    <col width="24" customWidth="1" min="1" max="1"/>
    <col width="100" customWidth="1" min="2" max="2"/>
  </cols>
  <sheetData>
    <row r="1">
      <c r="A1" s="28" t="inlineStr">
        <is>
          <t>Titre</t>
        </is>
      </c>
      <c r="B1" s="29" t="inlineStr">
        <is>
          <t>AV murs commerciaux 51m² à Paris 11 Père-Lachaise</t>
        </is>
      </c>
    </row>
    <row r="2">
      <c r="A2" s="28" t="inlineStr">
        <is>
          <t>Lien</t>
        </is>
      </c>
      <c r="B2" s="30" t="inlineStr">
        <is>
          <t>https://www.cessionpme.com/annonce,immo-entreprise-achat-local-commercial-boutique-paris-11e-75011,2753574,A,offre.html</t>
        </is>
      </c>
    </row>
    <row r="3">
      <c r="A3" s="28" t="inlineStr">
        <is>
          <t>Ville</t>
        </is>
      </c>
      <c r="B3" s="29" t="inlineStr">
        <is>
          <t>Paris 11e (75011)</t>
        </is>
      </c>
    </row>
    <row r="4">
      <c r="A4" s="28" t="inlineStr">
        <is>
          <t>Source</t>
        </is>
      </c>
      <c r="B4" s="29" t="inlineStr">
        <is>
          <t>cessionpme</t>
        </is>
      </c>
    </row>
    <row r="5">
      <c r="A5" s="28" t="inlineStr">
        <is>
          <t>Première détection</t>
        </is>
      </c>
      <c r="B5" s="29" t="inlineStr">
        <is>
          <t>2026-07-10</t>
        </is>
      </c>
    </row>
    <row r="6">
      <c r="A6" s="28" t="inlineStr">
        <is>
          <t>Type</t>
        </is>
      </c>
      <c r="B6" s="29" t="inlineStr">
        <is>
          <t>Murs libres</t>
        </is>
      </c>
    </row>
    <row r="7">
      <c r="A7" s="28" t="inlineStr">
        <is>
          <t>Caractéristiques</t>
        </is>
      </c>
      <c r="B7" s="29" t="inlineStr">
        <is>
          <t>—</t>
        </is>
      </c>
    </row>
    <row r="8">
      <c r="A8" s="28" t="inlineStr">
        <is>
          <t>Évolution du prix</t>
        </is>
      </c>
      <c r="B8" s="29" t="inlineStr">
        <is>
          <t>379 000 € (10/07) → 355 000 € (07/09)  —  −6.3 % depuis la première vue</t>
        </is>
      </c>
    </row>
    <row r="9">
      <c r="A9" s="28" t="inlineStr">
        <is>
          <t>Fourchette de marché</t>
        </is>
      </c>
      <c r="B9" s="29" t="inlineStr">
        <is>
          <t>572 ventes réelles 2023-2025 (DVF)</t>
        </is>
      </c>
    </row>
    <row r="10">
      <c r="A10" s="28" t="inlineStr">
        <is>
          <t>Lecture du prix</t>
        </is>
      </c>
      <c r="B10" s="29" t="inlineStr">
        <is>
          <t>Prix cohérent avec le marché local.</t>
        </is>
      </c>
    </row>
    <row r="11">
      <c r="A11" s="28" t="inlineStr">
        <is>
          <t>Alertes</t>
        </is>
      </c>
      <c r="B11" s="29" t="inlineStr">
        <is>
          <t>loyer_estime · surface_a_ventiler · occupation_a_confirmer</t>
        </is>
      </c>
    </row>
    <row r="12" ht="110" customHeight="1">
      <c r="A12" s="28" t="inlineStr">
        <is>
          <t>Description</t>
        </is>
      </c>
      <c r="B12" s="29" t="inlineStr">
        <is>
          <t>Vente de murs de boutique libres – Paris 11ᵉ – Secteur Philippe Auguste / Père-Lachaise À proximité immédiate du métro Philippe Auguste et du cimetière du Père-Lachaise, au cœur d'une rue calme et agréable, découvrez ces murs de boutique libres offrant une surface totale de 51 m², parfaitement agencés, sans perte de place. Le local, en bon état général, bénéficie d'une belle luminosité, d'une hauteur sous plafond appréciable et d'une vitrine offrant une excellente visibilité. Le bien se compose de : - Rez-de-chaussée : 40,43 m², comprenant un bel espace commercial sur rue d'environ 36 m², avec un linéaire de vitrine de 5 mètres équipé d'un rideau métallique électrique, ainsi qu'un espace cuisine avec point d'eau et WC. - Cour privative : 3,55 m². - Cave : 7,80 m², idéale pour le stockage. Ce bien conviendra parfaitement à un investisseur ou à un utilisateur souhaitant implanter une activité libérale (architecte, profession médicale, cabinet de conseil, etc.), une activité tertiaire ou tout autre commerce (hors activités générant des nuisances, sous réserve des autorisations en vigueur). Prix de vente : 355 000 € FAI. Réf. agence : VEMU 1028.</t>
        </is>
      </c>
    </row>
  </sheetData>
  <hyperlinks>
    <hyperlink xmlns:r="http://schemas.openxmlformats.org/officeDocument/2006/relationships" ref="B2"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2026-10-28T00:57:29Z</dcterms:created>
  <dcterms:modified xsi:type="dcterms:W3CDTF">2026-10-28T00:57:29Z</dcterms:modified>
</cp:coreProperties>
</file>