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2">
    <font>
      <name val="Calibri"/>
      <family val="2"/>
      <color theme="1"/>
      <sz val="11"/>
      <scheme val="minor"/>
    </font>
    <font>
      <name val="Calibri"/>
      <b val="1"/>
      <color rgb="001D5240"/>
      <sz val="16"/>
    </font>
    <font>
      <b val="1"/>
      <sz val="12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sz val="13"/>
    </font>
    <font>
      <i val="1"/>
      <sz val="11"/>
    </font>
    <font>
      <b val="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indent="1"/>
    </xf>
    <xf numFmtId="165" fontId="0" fillId="0" borderId="0" pivotButton="0" quotePrefix="0" xfId="0"/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3" borderId="1" pivotButton="0" quotePrefix="0" xfId="0"/>
    <xf numFmtId="0" fontId="5" fillId="0" borderId="0" applyAlignment="1" pivotButton="0" quotePrefix="0" xfId="0">
      <alignment vertical="center"/>
    </xf>
    <xf numFmtId="166" fontId="7" fillId="3" borderId="1" pivotButton="0" quotePrefix="0" xfId="0"/>
    <xf numFmtId="1" fontId="7" fillId="3" borderId="1" pivotButton="0" quotePrefix="0" xfId="0"/>
    <xf numFmtId="167" fontId="7" fillId="3" borderId="1" pivotButton="0" quotePrefix="0" xfId="0"/>
    <xf numFmtId="168" fontId="7" fillId="0" borderId="1" pivotButton="0" quotePrefix="0" xfId="0"/>
    <xf numFmtId="168" fontId="8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9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0" fillId="0" borderId="0" pivotButton="0" quotePrefix="0" xfId="0"/>
    <xf numFmtId="0" fontId="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'Synthèse'!$E$6:$E$8</f>
            </numRef>
          </cat>
          <val>
            <numRef>
              <f>'Synthèse'!$F$6:$F$8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9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a-vendre-local-commercial-en-centre-ville--40216634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a-vendre-local-commercial-en-centre-ville--4021663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>
      <c r="A1" s="1" t="inlineStr">
        <is>
          <t>Dossier de financement — Murs commerciaux</t>
        </is>
      </c>
    </row>
    <row r="2">
      <c r="A2" s="2" t="inlineStr">
        <is>
          <t>A vendre Local commercial en Centre ville</t>
        </is>
      </c>
    </row>
    <row r="3">
      <c r="A3" s="3" t="inlineStr">
        <is>
          <t>Valenton (94460) — annonce bureauxlocaux du 2026-07-07</t>
        </is>
      </c>
    </row>
    <row r="4">
      <c r="A4" s="4" t="inlineStr">
        <is>
          <t>Voir l'annonce en ligne</t>
        </is>
      </c>
      <c r="B4" s="5" t="inlineStr">
        <is>
          <t>Dossier généré le 07/07/2026</t>
        </is>
      </c>
    </row>
    <row r="6">
      <c r="A6" s="6" t="inlineStr">
        <is>
          <t>LE BIEN</t>
        </is>
      </c>
      <c r="E6" s="5" t="inlineStr">
        <is>
          <t>Loyer mensuel</t>
        </is>
      </c>
      <c r="F6" s="7">
        <f>IFERROR(B11,0)</f>
        <v/>
      </c>
    </row>
    <row r="7">
      <c r="A7" s="8" t="inlineStr">
        <is>
          <t>État locatif</t>
        </is>
      </c>
      <c r="B7" s="9" t="inlineStr">
        <is>
          <t>Murs libres — local à louer après l'achat</t>
        </is>
      </c>
      <c r="E7" s="5" t="inlineStr">
        <is>
          <t>Crédit + charges / mois</t>
        </is>
      </c>
      <c r="F7" s="7">
        <f>B28-(B33+B34+B35)/12</f>
        <v/>
      </c>
    </row>
    <row r="8">
      <c r="A8" s="8" t="inlineStr">
        <is>
          <t>Surface</t>
        </is>
      </c>
      <c r="B8" s="10" t="n">
        <v>75</v>
      </c>
      <c r="E8" s="5" t="inlineStr">
        <is>
          <t>Cash-flow</t>
        </is>
      </c>
      <c r="F8" s="7">
        <f>B39</f>
        <v/>
      </c>
    </row>
    <row r="9">
      <c r="A9" s="8" t="inlineStr">
        <is>
          <t>Prix affiché</t>
        </is>
      </c>
      <c r="B9" s="11" t="n">
        <v>150000</v>
      </c>
    </row>
    <row r="10">
      <c r="A10" s="8" t="inlineStr">
        <is>
          <t>Prix au m²</t>
        </is>
      </c>
      <c r="B10" s="11">
        <f>IFERROR(B9/B8,"")</f>
        <v/>
      </c>
    </row>
    <row r="11">
      <c r="A11" s="8" t="inlineStr">
        <is>
          <t>Loyer mensuel HT</t>
        </is>
      </c>
      <c r="B11" s="12" t="n">
        <v>1125</v>
      </c>
      <c r="C11" s="13" t="inlineStr">
        <is>
          <t>ESTIMATION au loyer de marché local — aucun bail ne le garantit</t>
        </is>
      </c>
    </row>
    <row r="12">
      <c r="A12" s="8" t="inlineStr">
        <is>
          <t>Marché local (prix/m²)</t>
        </is>
      </c>
      <c r="B12" s="9" t="inlineStr">
        <is>
          <t>1 800 à 3 200 €/m²</t>
        </is>
      </c>
      <c r="C12" s="13" t="inlineStr">
        <is>
          <t>ce bien est 20 % SOUS la médiane locale</t>
        </is>
      </c>
    </row>
    <row r="14">
      <c r="A14" s="6" t="inlineStr">
        <is>
          <t>HYPOTHÈSES — cellules jaunes à ajuster avec votre conseiller</t>
        </is>
      </c>
    </row>
    <row r="15">
      <c r="A15" s="8" t="inlineStr">
        <is>
          <t>Prix négocié retenu</t>
        </is>
      </c>
      <c r="B15" s="12" t="n">
        <v>150000</v>
      </c>
      <c r="C15" s="13" t="inlineStr">
        <is>
          <t>par défaut le prix affiché — un prix demandé se négocie</t>
        </is>
      </c>
    </row>
    <row r="16">
      <c r="A16" s="8" t="inlineStr">
        <is>
          <t>Frais d'acquisition (notaire, garanties)</t>
        </is>
      </c>
      <c r="B16" s="14" t="n">
        <v>0.08</v>
      </c>
    </row>
    <row r="17">
      <c r="A17" s="8" t="inlineStr">
        <is>
          <t>Apport personnel</t>
        </is>
      </c>
      <c r="B17" s="14" t="n">
        <v>0.2</v>
      </c>
    </row>
    <row r="18">
      <c r="A18" s="8" t="inlineStr">
        <is>
          <t>Taux du crédit (hors assurance)</t>
        </is>
      </c>
      <c r="B18" s="14" t="n">
        <v>0.0464</v>
      </c>
    </row>
    <row r="19">
      <c r="A19" s="8" t="inlineStr">
        <is>
          <t>Durée du crédit (années)</t>
        </is>
      </c>
      <c r="B19" s="15" t="n">
        <v>20</v>
      </c>
    </row>
    <row r="20">
      <c r="A20" s="8" t="inlineStr">
        <is>
          <t>Taxe foncière (en mois de loyer par an)</t>
        </is>
      </c>
      <c r="B20" s="16" t="n">
        <v>1</v>
      </c>
      <c r="C20" s="13" t="inlineStr">
        <is>
          <t>à remplacer par le montant réel dès que connu</t>
        </is>
      </c>
    </row>
    <row r="21">
      <c r="A21" s="8" t="inlineStr">
        <is>
          <t>Provision entretien &amp; vacance (% du loyer)</t>
        </is>
      </c>
      <c r="B21" s="14" t="n">
        <v>0.05</v>
      </c>
    </row>
    <row r="22">
      <c r="A22" s="8" t="inlineStr">
        <is>
          <t>Assurance propriétaire (PNO, €/an)</t>
        </is>
      </c>
      <c r="B22" s="12" t="n">
        <v>300</v>
      </c>
    </row>
    <row r="24">
      <c r="A24" s="6" t="inlineStr">
        <is>
          <t>PLAN DE FINANCEMENT</t>
        </is>
      </c>
    </row>
    <row r="25">
      <c r="A25" s="8" t="inlineStr">
        <is>
          <t>Coût d'acquisition total</t>
        </is>
      </c>
      <c r="B25" s="11">
        <f>B15*(1+B16)</f>
        <v/>
      </c>
      <c r="C25" s="13" t="inlineStr">
        <is>
          <t>prix négocié + frais d'acquisition</t>
        </is>
      </c>
    </row>
    <row r="26">
      <c r="A26" s="8" t="inlineStr">
        <is>
          <t>Apport personnel</t>
        </is>
      </c>
      <c r="B26" s="11">
        <f>B25*B17</f>
        <v/>
      </c>
    </row>
    <row r="27">
      <c r="A27" s="8" t="inlineStr">
        <is>
          <t>Montant emprunté</t>
        </is>
      </c>
      <c r="B27" s="11">
        <f>B25-B26</f>
        <v/>
      </c>
    </row>
    <row r="28">
      <c r="A28" s="8" t="inlineStr">
        <is>
          <t>Mensualité du crédit</t>
        </is>
      </c>
      <c r="B28" s="17">
        <f>IFERROR(-PMT(B18/12,B19*12,B27),0)</f>
        <v/>
      </c>
    </row>
    <row r="29">
      <c r="A29" s="8" t="inlineStr">
        <is>
          <t>Service de la dette (annuel)</t>
        </is>
      </c>
      <c r="B29" s="11">
        <f>B28*12</f>
        <v/>
      </c>
    </row>
    <row r="31">
      <c r="A31" s="6" t="inlineStr">
        <is>
          <t>EXPLOITATION ANNUELLE</t>
        </is>
      </c>
    </row>
    <row r="32">
      <c r="A32" s="8" t="inlineStr">
        <is>
          <t>Loyers annuels HT</t>
        </is>
      </c>
      <c r="B32" s="11">
        <f>IFERROR(B11*12,0)</f>
        <v/>
      </c>
    </row>
    <row r="33">
      <c r="A33" s="8" t="inlineStr">
        <is>
          <t>− Taxe foncière</t>
        </is>
      </c>
      <c r="B33" s="11">
        <f>-IFERROR(B11*B20,0)</f>
        <v/>
      </c>
    </row>
    <row r="34">
      <c r="A34" s="8" t="inlineStr">
        <is>
          <t>− Entretien &amp; vacance locative</t>
        </is>
      </c>
      <c r="B34" s="11">
        <f>-B32*B21</f>
        <v/>
      </c>
    </row>
    <row r="35">
      <c r="A35" s="8" t="inlineStr">
        <is>
          <t>− Assurance PNO</t>
        </is>
      </c>
      <c r="B35" s="11">
        <f>-B22</f>
        <v/>
      </c>
    </row>
    <row r="36">
      <c r="A36" s="8" t="inlineStr">
        <is>
          <t>Revenu net avant crédit</t>
        </is>
      </c>
      <c r="B36" s="11">
        <f>B32+B33+B34+B35</f>
        <v/>
      </c>
    </row>
    <row r="37">
      <c r="A37" s="8" t="inlineStr">
        <is>
          <t>− Remboursement du crédit</t>
        </is>
      </c>
      <c r="B37" s="11">
        <f>-B29</f>
        <v/>
      </c>
    </row>
    <row r="38">
      <c r="A38" s="8" t="inlineStr">
        <is>
          <t>Cash-flow annuel</t>
        </is>
      </c>
      <c r="B38" s="11">
        <f>B36-B29</f>
        <v/>
      </c>
    </row>
    <row r="39">
      <c r="A39" s="8" t="inlineStr">
        <is>
          <t>Cash-flow mensuel</t>
        </is>
      </c>
      <c r="B39" s="18">
        <f>B38/12</f>
        <v/>
      </c>
      <c r="C39" s="13" t="inlineStr">
        <is>
          <t>positif : le bien se paie tout seul, loyer ≥ crédit + charges</t>
        </is>
      </c>
    </row>
    <row r="41">
      <c r="A41" s="6" t="inlineStr">
        <is>
          <t>LES RATIOS QUE REGARDE LE BANQUIER</t>
        </is>
      </c>
    </row>
    <row r="42">
      <c r="A42" s="8" t="inlineStr">
        <is>
          <t>Rendement brut</t>
        </is>
      </c>
      <c r="B42" s="19">
        <f>IFERROR(B32/B15,"")</f>
        <v/>
      </c>
      <c r="C42" s="13" t="inlineStr">
        <is>
          <t>loyer annuel ÷ prix — la base de comparaison des biens</t>
        </is>
      </c>
    </row>
    <row r="43">
      <c r="A43" s="8" t="inlineStr">
        <is>
          <t>Rendement net avant crédit</t>
        </is>
      </c>
      <c r="B43" s="19">
        <f>IFERROR(B36/B25,"")</f>
        <v/>
      </c>
      <c r="C43" s="13" t="inlineStr">
        <is>
          <t>après taxe foncière, entretien et assurance</t>
        </is>
      </c>
    </row>
    <row r="44">
      <c r="A44" s="8" t="inlineStr">
        <is>
          <t>DSCR — couverture de la dette</t>
        </is>
      </c>
      <c r="B44" s="20">
        <f>IFERROR(B36/B29,"")</f>
        <v/>
      </c>
      <c r="C44" s="13" t="inlineStr">
        <is>
          <t>revenu net ÷ crédit : ≥ 1,20 rassure une banque</t>
        </is>
      </c>
    </row>
    <row r="45">
      <c r="A45" s="8" t="inlineStr">
        <is>
          <t>LTV — part financée par la banque</t>
        </is>
      </c>
      <c r="B45" s="19">
        <f>IFERROR(B27/B15,"")</f>
        <v/>
      </c>
      <c r="C45" s="13" t="inlineStr">
        <is>
          <t>≤ 80 % est la zone de confort bancaire</t>
        </is>
      </c>
    </row>
    <row r="46">
      <c r="A46" s="8" t="inlineStr">
        <is>
          <t>Effort d'épargne mensuel si négatif</t>
        </is>
      </c>
      <c r="B46" s="17">
        <f>MAX(0,-B38/12)</f>
        <v/>
      </c>
    </row>
    <row r="47">
      <c r="A47" s="8" t="inlineStr">
        <is>
          <t>Score de l'outil de veille</t>
        </is>
      </c>
      <c r="B47" s="9" t="inlineStr">
        <is>
          <t>68/100</t>
        </is>
      </c>
      <c r="C47" s="13" t="inlineStr">
        <is>
          <t>rendement, emplacement, prix vs marché, proximité</t>
        </is>
      </c>
    </row>
    <row r="49">
      <c r="A49" s="21" t="inlineStr">
        <is>
          <t>EN CLAIR — Sur la base d'un loyer ESTIMÉ (pas de bail signé à ce stade) : aux hypothèses de ce dossier (apport 20 %, crédit 4,64 % sur 20 ans, charges provisionnées), le bien s'autofinance : le loyer couvre crédit et charges et laisse environ +120 €/mois.</t>
        </is>
      </c>
    </row>
    <row r="50"/>
    <row r="51"/>
  </sheetData>
  <mergeCells count="9">
    <mergeCell ref="A41:C41"/>
    <mergeCell ref="A1:C1"/>
    <mergeCell ref="A49:C51"/>
    <mergeCell ref="A14:C14"/>
    <mergeCell ref="A31:C31"/>
    <mergeCell ref="A6:C6"/>
    <mergeCell ref="A3:C3"/>
    <mergeCell ref="A24:C24"/>
    <mergeCell ref="A2:C2"/>
  </mergeCells>
  <conditionalFormatting sqref="B38:B39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4">
    <cfRule type="cellIs" priority="3" operator="greaterThanOrEqual" dxfId="0">
      <formula>1.2</formula>
    </cfRule>
    <cfRule type="cellIs" priority="4" operator="lessThan" dxfId="1">
      <formula>1</formula>
    </cfRule>
  </conditionalFormatting>
  <hyperlinks>
    <hyperlink xmlns:r="http://schemas.openxmlformats.org/officeDocument/2006/relationships" ref="A4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2" t="inlineStr">
        <is>
          <t>Année</t>
        </is>
      </c>
      <c r="B1" s="22" t="inlineStr">
        <is>
          <t>Capital dû en début d'année</t>
        </is>
      </c>
      <c r="C1" s="22" t="inlineStr">
        <is>
          <t>Intérêts de l'année</t>
        </is>
      </c>
      <c r="D1" s="22" t="inlineStr">
        <is>
          <t>Capital remboursé</t>
        </is>
      </c>
      <c r="E1" s="22" t="inlineStr">
        <is>
          <t>Capital restant dû</t>
        </is>
      </c>
      <c r="G1">
        <f>'Synthèse'!B19</f>
        <v/>
      </c>
    </row>
    <row r="2">
      <c r="A2" t="n">
        <v>1</v>
      </c>
      <c r="B2" s="7">
        <f>IF(A2&lt;=$G$1,'Synthèse'!$B$27,"")</f>
        <v/>
      </c>
      <c r="C2" s="7">
        <f>IF(A2&lt;=$G$1,B2*$G$2,"")</f>
        <v/>
      </c>
      <c r="D2" s="7">
        <f>IF(A2&lt;=$G$1,MIN(B2,$G$3-C2),"")</f>
        <v/>
      </c>
      <c r="E2" s="7">
        <f>IF(A2&lt;=$G$1,MAX(0,B2-D2),"")</f>
        <v/>
      </c>
      <c r="F2" s="5" t="inlineStr">
        <is>
          <t>Tableau indicatif (pas annuel) — l'offre de prêt de la banque fait foi.</t>
        </is>
      </c>
      <c r="G2">
        <f>'Synthèse'!B18</f>
        <v/>
      </c>
    </row>
    <row r="3">
      <c r="A3" t="n">
        <v>2</v>
      </c>
      <c r="B3" s="7">
        <f>IF(A3&lt;=$G$1,E2,"")</f>
        <v/>
      </c>
      <c r="C3" s="7">
        <f>IF(A3&lt;=$G$1,B3*$G$2,"")</f>
        <v/>
      </c>
      <c r="D3" s="7">
        <f>IF(A3&lt;=$G$1,MIN(B3,$G$3-C3),"")</f>
        <v/>
      </c>
      <c r="E3" s="7">
        <f>IF(A3&lt;=$G$1,MAX(0,B3-D3),"")</f>
        <v/>
      </c>
      <c r="G3">
        <f>'Synthèse'!B29</f>
        <v/>
      </c>
    </row>
    <row r="4">
      <c r="A4" t="n">
        <v>3</v>
      </c>
      <c r="B4" s="7">
        <f>IF(A4&lt;=$G$1,E3,"")</f>
        <v/>
      </c>
      <c r="C4" s="7">
        <f>IF(A4&lt;=$G$1,B4*$G$2,"")</f>
        <v/>
      </c>
      <c r="D4" s="7">
        <f>IF(A4&lt;=$G$1,MIN(B4,$G$3-C4),"")</f>
        <v/>
      </c>
      <c r="E4" s="7">
        <f>IF(A4&lt;=$G$1,MAX(0,B4-D4),"")</f>
        <v/>
      </c>
    </row>
    <row r="5">
      <c r="A5" t="n">
        <v>4</v>
      </c>
      <c r="B5" s="7">
        <f>IF(A5&lt;=$G$1,E4,"")</f>
        <v/>
      </c>
      <c r="C5" s="7">
        <f>IF(A5&lt;=$G$1,B5*$G$2,"")</f>
        <v/>
      </c>
      <c r="D5" s="7">
        <f>IF(A5&lt;=$G$1,MIN(B5,$G$3-C5),"")</f>
        <v/>
      </c>
      <c r="E5" s="7">
        <f>IF(A5&lt;=$G$1,MAX(0,B5-D5),"")</f>
        <v/>
      </c>
    </row>
    <row r="6">
      <c r="A6" t="n">
        <v>5</v>
      </c>
      <c r="B6" s="7">
        <f>IF(A6&lt;=$G$1,E5,"")</f>
        <v/>
      </c>
      <c r="C6" s="7">
        <f>IF(A6&lt;=$G$1,B6*$G$2,"")</f>
        <v/>
      </c>
      <c r="D6" s="7">
        <f>IF(A6&lt;=$G$1,MIN(B6,$G$3-C6),"")</f>
        <v/>
      </c>
      <c r="E6" s="7">
        <f>IF(A6&lt;=$G$1,MAX(0,B6-D6),"")</f>
        <v/>
      </c>
    </row>
    <row r="7">
      <c r="A7" t="n">
        <v>6</v>
      </c>
      <c r="B7" s="7">
        <f>IF(A7&lt;=$G$1,E6,"")</f>
        <v/>
      </c>
      <c r="C7" s="7">
        <f>IF(A7&lt;=$G$1,B7*$G$2,"")</f>
        <v/>
      </c>
      <c r="D7" s="7">
        <f>IF(A7&lt;=$G$1,MIN(B7,$G$3-C7),"")</f>
        <v/>
      </c>
      <c r="E7" s="7">
        <f>IF(A7&lt;=$G$1,MAX(0,B7-D7),"")</f>
        <v/>
      </c>
    </row>
    <row r="8">
      <c r="A8" t="n">
        <v>7</v>
      </c>
      <c r="B8" s="7">
        <f>IF(A8&lt;=$G$1,E7,"")</f>
        <v/>
      </c>
      <c r="C8" s="7">
        <f>IF(A8&lt;=$G$1,B8*$G$2,"")</f>
        <v/>
      </c>
      <c r="D8" s="7">
        <f>IF(A8&lt;=$G$1,MIN(B8,$G$3-C8),"")</f>
        <v/>
      </c>
      <c r="E8" s="7">
        <f>IF(A8&lt;=$G$1,MAX(0,B8-D8),"")</f>
        <v/>
      </c>
    </row>
    <row r="9">
      <c r="A9" t="n">
        <v>8</v>
      </c>
      <c r="B9" s="7">
        <f>IF(A9&lt;=$G$1,E8,"")</f>
        <v/>
      </c>
      <c r="C9" s="7">
        <f>IF(A9&lt;=$G$1,B9*$G$2,"")</f>
        <v/>
      </c>
      <c r="D9" s="7">
        <f>IF(A9&lt;=$G$1,MIN(B9,$G$3-C9),"")</f>
        <v/>
      </c>
      <c r="E9" s="7">
        <f>IF(A9&lt;=$G$1,MAX(0,B9-D9),"")</f>
        <v/>
      </c>
    </row>
    <row r="10">
      <c r="A10" t="n">
        <v>9</v>
      </c>
      <c r="B10" s="7">
        <f>IF(A10&lt;=$G$1,E9,"")</f>
        <v/>
      </c>
      <c r="C10" s="7">
        <f>IF(A10&lt;=$G$1,B10*$G$2,"")</f>
        <v/>
      </c>
      <c r="D10" s="7">
        <f>IF(A10&lt;=$G$1,MIN(B10,$G$3-C10),"")</f>
        <v/>
      </c>
      <c r="E10" s="7">
        <f>IF(A10&lt;=$G$1,MAX(0,B10-D10),"")</f>
        <v/>
      </c>
    </row>
    <row r="11">
      <c r="A11" t="n">
        <v>10</v>
      </c>
      <c r="B11" s="7">
        <f>IF(A11&lt;=$G$1,E10,"")</f>
        <v/>
      </c>
      <c r="C11" s="7">
        <f>IF(A11&lt;=$G$1,B11*$G$2,"")</f>
        <v/>
      </c>
      <c r="D11" s="7">
        <f>IF(A11&lt;=$G$1,MIN(B11,$G$3-C11),"")</f>
        <v/>
      </c>
      <c r="E11" s="7">
        <f>IF(A11&lt;=$G$1,MAX(0,B11-D11),"")</f>
        <v/>
      </c>
    </row>
    <row r="12">
      <c r="A12" t="n">
        <v>11</v>
      </c>
      <c r="B12" s="7">
        <f>IF(A12&lt;=$G$1,E11,"")</f>
        <v/>
      </c>
      <c r="C12" s="7">
        <f>IF(A12&lt;=$G$1,B12*$G$2,"")</f>
        <v/>
      </c>
      <c r="D12" s="7">
        <f>IF(A12&lt;=$G$1,MIN(B12,$G$3-C12),"")</f>
        <v/>
      </c>
      <c r="E12" s="7">
        <f>IF(A12&lt;=$G$1,MAX(0,B12-D12),"")</f>
        <v/>
      </c>
    </row>
    <row r="13">
      <c r="A13" t="n">
        <v>12</v>
      </c>
      <c r="B13" s="7">
        <f>IF(A13&lt;=$G$1,E12,"")</f>
        <v/>
      </c>
      <c r="C13" s="7">
        <f>IF(A13&lt;=$G$1,B13*$G$2,"")</f>
        <v/>
      </c>
      <c r="D13" s="7">
        <f>IF(A13&lt;=$G$1,MIN(B13,$G$3-C13),"")</f>
        <v/>
      </c>
      <c r="E13" s="7">
        <f>IF(A13&lt;=$G$1,MAX(0,B13-D13),"")</f>
        <v/>
      </c>
    </row>
    <row r="14">
      <c r="A14" t="n">
        <v>13</v>
      </c>
      <c r="B14" s="7">
        <f>IF(A14&lt;=$G$1,E13,"")</f>
        <v/>
      </c>
      <c r="C14" s="7">
        <f>IF(A14&lt;=$G$1,B14*$G$2,"")</f>
        <v/>
      </c>
      <c r="D14" s="7">
        <f>IF(A14&lt;=$G$1,MIN(B14,$G$3-C14),"")</f>
        <v/>
      </c>
      <c r="E14" s="7">
        <f>IF(A14&lt;=$G$1,MAX(0,B14-D14),"")</f>
        <v/>
      </c>
    </row>
    <row r="15">
      <c r="A15" t="n">
        <v>14</v>
      </c>
      <c r="B15" s="7">
        <f>IF(A15&lt;=$G$1,E14,"")</f>
        <v/>
      </c>
      <c r="C15" s="7">
        <f>IF(A15&lt;=$G$1,B15*$G$2,"")</f>
        <v/>
      </c>
      <c r="D15" s="7">
        <f>IF(A15&lt;=$G$1,MIN(B15,$G$3-C15),"")</f>
        <v/>
      </c>
      <c r="E15" s="7">
        <f>IF(A15&lt;=$G$1,MAX(0,B15-D15),"")</f>
        <v/>
      </c>
    </row>
    <row r="16">
      <c r="A16" t="n">
        <v>15</v>
      </c>
      <c r="B16" s="7">
        <f>IF(A16&lt;=$G$1,E15,"")</f>
        <v/>
      </c>
      <c r="C16" s="7">
        <f>IF(A16&lt;=$G$1,B16*$G$2,"")</f>
        <v/>
      </c>
      <c r="D16" s="7">
        <f>IF(A16&lt;=$G$1,MIN(B16,$G$3-C16),"")</f>
        <v/>
      </c>
      <c r="E16" s="7">
        <f>IF(A16&lt;=$G$1,MAX(0,B16-D16),"")</f>
        <v/>
      </c>
    </row>
    <row r="17">
      <c r="A17" t="n">
        <v>16</v>
      </c>
      <c r="B17" s="7">
        <f>IF(A17&lt;=$G$1,E16,"")</f>
        <v/>
      </c>
      <c r="C17" s="7">
        <f>IF(A17&lt;=$G$1,B17*$G$2,"")</f>
        <v/>
      </c>
      <c r="D17" s="7">
        <f>IF(A17&lt;=$G$1,MIN(B17,$G$3-C17),"")</f>
        <v/>
      </c>
      <c r="E17" s="7">
        <f>IF(A17&lt;=$G$1,MAX(0,B17-D17),"")</f>
        <v/>
      </c>
    </row>
    <row r="18">
      <c r="A18" t="n">
        <v>17</v>
      </c>
      <c r="B18" s="7">
        <f>IF(A18&lt;=$G$1,E17,"")</f>
        <v/>
      </c>
      <c r="C18" s="7">
        <f>IF(A18&lt;=$G$1,B18*$G$2,"")</f>
        <v/>
      </c>
      <c r="D18" s="7">
        <f>IF(A18&lt;=$G$1,MIN(B18,$G$3-C18),"")</f>
        <v/>
      </c>
      <c r="E18" s="7">
        <f>IF(A18&lt;=$G$1,MAX(0,B18-D18),"")</f>
        <v/>
      </c>
    </row>
    <row r="19">
      <c r="A19" t="n">
        <v>18</v>
      </c>
      <c r="B19" s="7">
        <f>IF(A19&lt;=$G$1,E18,"")</f>
        <v/>
      </c>
      <c r="C19" s="7">
        <f>IF(A19&lt;=$G$1,B19*$G$2,"")</f>
        <v/>
      </c>
      <c r="D19" s="7">
        <f>IF(A19&lt;=$G$1,MIN(B19,$G$3-C19),"")</f>
        <v/>
      </c>
      <c r="E19" s="7">
        <f>IF(A19&lt;=$G$1,MAX(0,B19-D19),"")</f>
        <v/>
      </c>
    </row>
    <row r="20">
      <c r="A20" t="n">
        <v>19</v>
      </c>
      <c r="B20" s="7">
        <f>IF(A20&lt;=$G$1,E19,"")</f>
        <v/>
      </c>
      <c r="C20" s="7">
        <f>IF(A20&lt;=$G$1,B20*$G$2,"")</f>
        <v/>
      </c>
      <c r="D20" s="7">
        <f>IF(A20&lt;=$G$1,MIN(B20,$G$3-C20),"")</f>
        <v/>
      </c>
      <c r="E20" s="7">
        <f>IF(A20&lt;=$G$1,MAX(0,B20-D20),"")</f>
        <v/>
      </c>
    </row>
    <row r="21">
      <c r="A21" t="n">
        <v>20</v>
      </c>
      <c r="B21" s="7">
        <f>IF(A21&lt;=$G$1,E20,"")</f>
        <v/>
      </c>
      <c r="C21" s="7">
        <f>IF(A21&lt;=$G$1,B21*$G$2,"")</f>
        <v/>
      </c>
      <c r="D21" s="7">
        <f>IF(A21&lt;=$G$1,MIN(B21,$G$3-C21),"")</f>
        <v/>
      </c>
      <c r="E21" s="7">
        <f>IF(A21&lt;=$G$1,MAX(0,B21-D21),"")</f>
        <v/>
      </c>
    </row>
    <row r="22">
      <c r="A22" t="n">
        <v>21</v>
      </c>
      <c r="B22" s="7">
        <f>IF(A22&lt;=$G$1,E21,"")</f>
        <v/>
      </c>
      <c r="C22" s="7">
        <f>IF(A22&lt;=$G$1,B22*$G$2,"")</f>
        <v/>
      </c>
      <c r="D22" s="7">
        <f>IF(A22&lt;=$G$1,MIN(B22,$G$3-C22),"")</f>
        <v/>
      </c>
      <c r="E22" s="7">
        <f>IF(A22&lt;=$G$1,MAX(0,B22-D22),"")</f>
        <v/>
      </c>
    </row>
    <row r="23">
      <c r="A23" t="n">
        <v>22</v>
      </c>
      <c r="B23" s="7">
        <f>IF(A23&lt;=$G$1,E22,"")</f>
        <v/>
      </c>
      <c r="C23" s="7">
        <f>IF(A23&lt;=$G$1,B23*$G$2,"")</f>
        <v/>
      </c>
      <c r="D23" s="7">
        <f>IF(A23&lt;=$G$1,MIN(B23,$G$3-C23),"")</f>
        <v/>
      </c>
      <c r="E23" s="7">
        <f>IF(A23&lt;=$G$1,MAX(0,B23-D23),"")</f>
        <v/>
      </c>
    </row>
    <row r="24">
      <c r="A24" t="n">
        <v>23</v>
      </c>
      <c r="B24" s="7">
        <f>IF(A24&lt;=$G$1,E23,"")</f>
        <v/>
      </c>
      <c r="C24" s="7">
        <f>IF(A24&lt;=$G$1,B24*$G$2,"")</f>
        <v/>
      </c>
      <c r="D24" s="7">
        <f>IF(A24&lt;=$G$1,MIN(B24,$G$3-C24),"")</f>
        <v/>
      </c>
      <c r="E24" s="7">
        <f>IF(A24&lt;=$G$1,MAX(0,B24-D24),"")</f>
        <v/>
      </c>
    </row>
    <row r="25">
      <c r="A25" t="n">
        <v>24</v>
      </c>
      <c r="B25" s="7">
        <f>IF(A25&lt;=$G$1,E24,"")</f>
        <v/>
      </c>
      <c r="C25" s="7">
        <f>IF(A25&lt;=$G$1,B25*$G$2,"")</f>
        <v/>
      </c>
      <c r="D25" s="7">
        <f>IF(A25&lt;=$G$1,MIN(B25,$G$3-C25),"")</f>
        <v/>
      </c>
      <c r="E25" s="7">
        <f>IF(A25&lt;=$G$1,MAX(0,B25-D25),"")</f>
        <v/>
      </c>
    </row>
    <row r="26">
      <c r="A26" t="n">
        <v>25</v>
      </c>
      <c r="B26" s="7">
        <f>IF(A26&lt;=$G$1,E25,"")</f>
        <v/>
      </c>
      <c r="C26" s="7">
        <f>IF(A26&lt;=$G$1,B26*$G$2,"")</f>
        <v/>
      </c>
      <c r="D26" s="7">
        <f>IF(A26&lt;=$G$1,MIN(B26,$G$3-C26),"")</f>
        <v/>
      </c>
      <c r="E26" s="7">
        <f>IF(A26&lt;=$G$1,MAX(0,B26-D26),"")</f>
        <v/>
      </c>
    </row>
    <row r="27">
      <c r="A27" t="n">
        <v>26</v>
      </c>
      <c r="B27" s="7">
        <f>IF(A27&lt;=$G$1,E26,"")</f>
        <v/>
      </c>
      <c r="C27" s="7">
        <f>IF(A27&lt;=$G$1,B27*$G$2,"")</f>
        <v/>
      </c>
      <c r="D27" s="7">
        <f>IF(A27&lt;=$G$1,MIN(B27,$G$3-C27),"")</f>
        <v/>
      </c>
      <c r="E27" s="7">
        <f>IF(A27&lt;=$G$1,MAX(0,B27-D27),"")</f>
        <v/>
      </c>
    </row>
    <row r="28">
      <c r="A28" t="n">
        <v>27</v>
      </c>
      <c r="B28" s="7">
        <f>IF(A28&lt;=$G$1,E27,"")</f>
        <v/>
      </c>
      <c r="C28" s="7">
        <f>IF(A28&lt;=$G$1,B28*$G$2,"")</f>
        <v/>
      </c>
      <c r="D28" s="7">
        <f>IF(A28&lt;=$G$1,MIN(B28,$G$3-C28),"")</f>
        <v/>
      </c>
      <c r="E28" s="7">
        <f>IF(A28&lt;=$G$1,MAX(0,B28-D28),"")</f>
        <v/>
      </c>
    </row>
    <row r="29">
      <c r="A29" t="n">
        <v>28</v>
      </c>
      <c r="B29" s="7">
        <f>IF(A29&lt;=$G$1,E28,"")</f>
        <v/>
      </c>
      <c r="C29" s="7">
        <f>IF(A29&lt;=$G$1,B29*$G$2,"")</f>
        <v/>
      </c>
      <c r="D29" s="7">
        <f>IF(A29&lt;=$G$1,MIN(B29,$G$3-C29),"")</f>
        <v/>
      </c>
      <c r="E29" s="7">
        <f>IF(A29&lt;=$G$1,MAX(0,B29-D29),"")</f>
        <v/>
      </c>
    </row>
    <row r="30">
      <c r="A30" t="n">
        <v>29</v>
      </c>
      <c r="B30" s="7">
        <f>IF(A30&lt;=$G$1,E29,"")</f>
        <v/>
      </c>
      <c r="C30" s="7">
        <f>IF(A30&lt;=$G$1,B30*$G$2,"")</f>
        <v/>
      </c>
      <c r="D30" s="7">
        <f>IF(A30&lt;=$G$1,MIN(B30,$G$3-C30),"")</f>
        <v/>
      </c>
      <c r="E30" s="7">
        <f>IF(A30&lt;=$G$1,MAX(0,B30-D30),"")</f>
        <v/>
      </c>
    </row>
    <row r="31">
      <c r="A31" t="n">
        <v>30</v>
      </c>
      <c r="B31" s="7">
        <f>IF(A31&lt;=$G$1,E30,"")</f>
        <v/>
      </c>
      <c r="C31" s="7">
        <f>IF(A31&lt;=$G$1,B31*$G$2,"")</f>
        <v/>
      </c>
      <c r="D31" s="7">
        <f>IF(A31&lt;=$G$1,MIN(B31,$G$3-C31),"")</f>
        <v/>
      </c>
      <c r="E31" s="7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3" t="inlineStr">
        <is>
          <t>Titre</t>
        </is>
      </c>
      <c r="B1" s="24" t="inlineStr">
        <is>
          <t>A vendre Local commercial en Centre ville</t>
        </is>
      </c>
    </row>
    <row r="2">
      <c r="A2" s="23" t="inlineStr">
        <is>
          <t>Lien</t>
        </is>
      </c>
      <c r="B2" s="25" t="inlineStr">
        <is>
          <t>https://www.bureauxlocaux.com/annonce/a-vendre-local-commercial-en-centre-ville--40216634</t>
        </is>
      </c>
    </row>
    <row r="3">
      <c r="A3" s="23" t="inlineStr">
        <is>
          <t>Ville</t>
        </is>
      </c>
      <c r="B3" s="24" t="inlineStr">
        <is>
          <t>Valenton (94460)</t>
        </is>
      </c>
    </row>
    <row r="4">
      <c r="A4" s="23" t="inlineStr">
        <is>
          <t>Source</t>
        </is>
      </c>
      <c r="B4" s="24" t="inlineStr">
        <is>
          <t>bureauxlocaux</t>
        </is>
      </c>
    </row>
    <row r="5">
      <c r="A5" s="23" t="inlineStr">
        <is>
          <t>Première détection</t>
        </is>
      </c>
      <c r="B5" s="24" t="inlineStr">
        <is>
          <t>2026-07-07</t>
        </is>
      </c>
    </row>
    <row r="6">
      <c r="A6" s="23" t="inlineStr">
        <is>
          <t>Type</t>
        </is>
      </c>
      <c r="B6" s="24" t="inlineStr">
        <is>
          <t>Murs libres</t>
        </is>
      </c>
    </row>
    <row r="7">
      <c r="A7" s="23" t="inlineStr">
        <is>
          <t>Caractéristiques</t>
        </is>
      </c>
      <c r="B7" s="24" t="inlineStr">
        <is>
          <t>—</t>
        </is>
      </c>
    </row>
    <row r="8">
      <c r="A8" s="23" t="inlineStr">
        <is>
          <t>Lecture du prix</t>
        </is>
      </c>
      <c r="B8" s="24" t="inlineStr">
        <is>
          <t>Décote sans explication visible dans l'annonce : possible bonne affaire — ou défaut caché (état, copropriété, bail) à vérifier sur place.</t>
        </is>
      </c>
    </row>
    <row r="9">
      <c r="A9" s="23" t="inlineStr">
        <is>
          <t>Alertes</t>
        </is>
      </c>
      <c r="B9" s="24" t="inlineStr">
        <is>
          <t>loyer_estime</t>
        </is>
      </c>
    </row>
    <row r="10" ht="110" customHeight="1">
      <c r="A10" s="23" t="inlineStr">
        <is>
          <t>Description</t>
        </is>
      </c>
      <c r="B10" s="24" t="inlineStr">
        <is>
          <t>Le cabinet GHTIMMO vous propose : A la vente, un local commercial situé en centre-ville de la mairie proche de la mairie. Une superficie de 75m2 environ actuellement loué 8100€ / AN nGHT IMMO - 01 48 93 81 23 - Plus d'informations sur www.ghtimmo.fr (réf. 9400410830)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2026-07-07T08:53:47Z</dcterms:created>
  <dcterms:modified xsi:type="dcterms:W3CDTF">2026-07-07T08:53:47Z</dcterms:modified>
</cp:coreProperties>
</file>