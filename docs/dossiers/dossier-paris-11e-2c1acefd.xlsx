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'Synthèse'!$A$1:$C$59</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vente-local-commercial-boutique-paris-11e-75011,2758169,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vente-local-commercial-boutique-paris-11e-75011,2758169,A,offre.html" TargetMode="External" Id="rId1" /></Relationships>
</file>

<file path=xl/worksheets/sheet1.xml><?xml version="1.0" encoding="utf-8"?>
<worksheet xmlns="http://schemas.openxmlformats.org/spreadsheetml/2006/main">
  <sheetPr>
    <outlinePr summaryBelow="1" summaryRight="1"/>
    <pageSetUpPr fitToPage="1"/>
  </sheetPr>
  <dimension ref="A1:F58"/>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Vente murs commerciaux 41m² à Paris 75011 Sedaine</t>
        </is>
      </c>
    </row>
    <row r="4">
      <c r="A4" s="4" t="inlineStr">
        <is>
          <t>Paris 11e (75011) — annonce cessionpme du 2026-09-08</t>
        </is>
      </c>
      <c r="C4" s="5" t="inlineStr">
        <is>
          <t>Voir l'annonce en ligne ↗</t>
        </is>
      </c>
    </row>
    <row r="5">
      <c r="A5" s="6" t="inlineStr">
        <is>
          <t>Dossier généré le 31/10/2026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+132 €/mois.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41</v>
      </c>
    </row>
    <row r="18">
      <c r="A18" s="14" t="inlineStr">
        <is>
          <t>Prix affiché</t>
        </is>
      </c>
      <c r="B18" s="17" t="n">
        <v>387000</v>
      </c>
    </row>
    <row r="19">
      <c r="A19" s="14" t="inlineStr">
        <is>
          <t>Prix au m²</t>
        </is>
      </c>
      <c r="B19" s="17">
        <f>IFERROR(B18/B17,"")</f>
        <v/>
      </c>
    </row>
    <row r="20">
      <c r="A20" s="14" t="inlineStr">
        <is>
          <t>Loyer mensuel HT</t>
        </is>
      </c>
      <c r="B20" s="17" t="n">
        <v>2800</v>
      </c>
      <c r="C20" s="18" t="inlineStr">
        <is>
          <t>loyer du bail en place (à faire confirmer par le bail)</t>
        </is>
      </c>
    </row>
    <row r="21">
      <c r="A21" s="14" t="inlineStr">
        <is>
          <t>Marché local (prix/m²)</t>
        </is>
      </c>
      <c r="B21" s="15" t="inlineStr">
        <is>
          <t>4 468 à 9 878 €/m²</t>
        </is>
      </c>
      <c r="C21" s="18" t="inlineStr">
        <is>
          <t>ce bien est 34 % au-dessus de la médiane locale</t>
        </is>
      </c>
    </row>
    <row r="22">
      <c r="A22" s="14" t="inlineStr">
        <is>
          <t>Source de la fourchette</t>
        </is>
      </c>
      <c r="B22" s="15" t="inlineStr">
        <is>
          <t>572 ventes réelles 2023-2025 (DVF)</t>
        </is>
      </c>
      <c r="C22" s="18" t="inlineStr">
        <is>
          <t>DVF = prix réellement payés, enregistrés chez le notaire (data.gouv.fr)</t>
        </is>
      </c>
    </row>
    <row r="23">
      <c r="A23" s="14" t="inlineStr">
        <is>
          <t>Évolution du prix demandé</t>
        </is>
      </c>
      <c r="B23" s="15" t="inlineStr">
        <is>
          <t>397 000 € (08/09) → 387 000 € (23/10)  —  −2.5 % depuis la première vue</t>
        </is>
      </c>
      <c r="C23" s="18" t="inlineStr">
        <is>
          <t>un prix qui baisse est un levier de négociation documenté</t>
        </is>
      </c>
    </row>
    <row r="25" ht="18" customHeight="1">
      <c r="A25" s="7" t="inlineStr">
        <is>
          <t>HYPOTHÈSES — cellules jaunes à ajuster avec votre conseiller</t>
        </is>
      </c>
    </row>
    <row r="26">
      <c r="A26" s="14" t="inlineStr">
        <is>
          <t>Prix négocié retenu</t>
        </is>
      </c>
      <c r="B26" s="19" t="n">
        <v>387000</v>
      </c>
      <c r="C26" s="18"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8" t="inlineStr">
        <is>
          <t>à remplacer par le montant réel dès que connu</t>
        </is>
      </c>
    </row>
    <row r="32">
      <c r="A32" s="14" t="inlineStr">
        <is>
          <t>Provision entretien &amp; vacance (% du loyer)</t>
        </is>
      </c>
      <c r="B32" s="20" t="n">
        <v>0.05</v>
      </c>
    </row>
    <row r="33">
      <c r="A33" s="14" t="inlineStr">
        <is>
          <t>Assurance propriétaire (PNO, €/an)</t>
        </is>
      </c>
      <c r="B33" s="19" t="n">
        <v>300</v>
      </c>
    </row>
    <row r="35" ht="18" customHeight="1">
      <c r="A35" s="7" t="inlineStr">
        <is>
          <t>PLAN DE FINANCEMENT</t>
        </is>
      </c>
    </row>
    <row r="36">
      <c r="A36" s="14" t="inlineStr">
        <is>
          <t>Coût d'acquisition total</t>
        </is>
      </c>
      <c r="B36" s="17">
        <f>B26*(1+B27)</f>
        <v/>
      </c>
      <c r="C36" s="18"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8" t="inlineStr">
        <is>
          <t>positif : le bien se paie tout seul, loyer ≥ crédit + charges</t>
        </is>
      </c>
    </row>
    <row r="52" ht="18" customHeight="1">
      <c r="A52" s="7" t="inlineStr">
        <is>
          <t>LES RATIOS QUE REGARDE LE BANQUIER</t>
        </is>
      </c>
    </row>
    <row r="53">
      <c r="A53" s="14" t="inlineStr">
        <is>
          <t>Rendement brut</t>
        </is>
      </c>
      <c r="B53" s="25">
        <f>IFERROR(B43/B26,"")</f>
        <v/>
      </c>
      <c r="C53" s="18" t="inlineStr">
        <is>
          <t>loyer annuel ÷ prix — la base de comparaison des biens</t>
        </is>
      </c>
    </row>
    <row r="54">
      <c r="A54" s="14" t="inlineStr">
        <is>
          <t>Rendement net avant crédit</t>
        </is>
      </c>
      <c r="B54" s="25">
        <f>IFERROR(B47/B36,"")</f>
        <v/>
      </c>
      <c r="C54" s="18" t="inlineStr">
        <is>
          <t>après taxe foncière, entretien et assurance</t>
        </is>
      </c>
    </row>
    <row r="55">
      <c r="A55" s="14" t="inlineStr">
        <is>
          <t>DSCR — couverture de la dette</t>
        </is>
      </c>
      <c r="B55" s="26">
        <f>IFERROR(B47/B40,"")</f>
        <v/>
      </c>
      <c r="C55" s="18" t="inlineStr">
        <is>
          <t>revenu net ÷ crédit : ≥ 1,20 rassure une banque</t>
        </is>
      </c>
    </row>
    <row r="56">
      <c r="A56" s="14" t="inlineStr">
        <is>
          <t>LTV — part financée par la banque</t>
        </is>
      </c>
      <c r="B56" s="25">
        <f>IFERROR(B38/B26,"")</f>
        <v/>
      </c>
      <c r="C56" s="18" t="inlineStr">
        <is>
          <t>≤ 80 % est la zone de confort bancaire</t>
        </is>
      </c>
    </row>
    <row r="57">
      <c r="A57" s="14" t="inlineStr">
        <is>
          <t>Effort d'épargne mensuel si négatif</t>
        </is>
      </c>
      <c r="B57" s="23">
        <f>MAX(0,-B49/12)</f>
        <v/>
      </c>
    </row>
    <row r="58">
      <c r="A58" s="14" t="inlineStr">
        <is>
          <t>Score de l'outil de veille</t>
        </is>
      </c>
      <c r="B58" s="15" t="inlineStr">
        <is>
          <t>68/100</t>
        </is>
      </c>
      <c r="C58" s="18" t="inlineStr">
        <is>
          <t>rendement, emplacement, prix vs marché, financement, fiscalité</t>
        </is>
      </c>
    </row>
  </sheetData>
  <mergeCells count="11">
    <mergeCell ref="A4:B4"/>
    <mergeCell ref="A25:C25"/>
    <mergeCell ref="A42:C42"/>
    <mergeCell ref="A1:C1"/>
    <mergeCell ref="A3:C3"/>
    <mergeCell ref="A13:C14"/>
    <mergeCell ref="A35:C35"/>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Vente murs commerciaux 41m² à Paris 75011 Sedaine</t>
        </is>
      </c>
    </row>
    <row r="2">
      <c r="A2" s="28" t="inlineStr">
        <is>
          <t>Lien</t>
        </is>
      </c>
      <c r="B2" s="30" t="inlineStr">
        <is>
          <t>https://www.cessionpme.com/annonce,immo-entreprise-vente-local-commercial-boutique-paris-11e-75011,2758169,A,offre.html</t>
        </is>
      </c>
    </row>
    <row r="3">
      <c r="A3" s="28" t="inlineStr">
        <is>
          <t>Ville</t>
        </is>
      </c>
      <c r="B3" s="29" t="inlineStr">
        <is>
          <t>Paris 11e (75011)</t>
        </is>
      </c>
    </row>
    <row r="4">
      <c r="A4" s="28" t="inlineStr">
        <is>
          <t>Source</t>
        </is>
      </c>
      <c r="B4" s="29" t="inlineStr">
        <is>
          <t>cessionpme</t>
        </is>
      </c>
    </row>
    <row r="5">
      <c r="A5" s="28" t="inlineStr">
        <is>
          <t>Première détection</t>
        </is>
      </c>
      <c r="B5" s="29" t="inlineStr">
        <is>
          <t>2026-09-08</t>
        </is>
      </c>
    </row>
    <row r="6">
      <c r="A6" s="28" t="inlineStr">
        <is>
          <t>Type</t>
        </is>
      </c>
      <c r="B6" s="29" t="inlineStr">
        <is>
          <t>Murs libres</t>
        </is>
      </c>
    </row>
    <row r="7">
      <c r="A7" s="28" t="inlineStr">
        <is>
          <t>Caractéristiques</t>
        </is>
      </c>
      <c r="B7" s="29" t="inlineStr">
        <is>
          <t>Extraction / vraie restauration possible</t>
        </is>
      </c>
    </row>
    <row r="8">
      <c r="A8" s="28" t="inlineStr">
        <is>
          <t>Évolution du prix</t>
        </is>
      </c>
      <c r="B8" s="29" t="inlineStr">
        <is>
          <t>397 000 € (08/09) → 387 000 € (23/10)  —  −2.5 % depuis la première vue</t>
        </is>
      </c>
    </row>
    <row r="9">
      <c r="A9" s="28" t="inlineStr">
        <is>
          <t>Fourchette de marché</t>
        </is>
      </c>
      <c r="B9" s="29" t="inlineStr">
        <is>
          <t>572 ventes réelles 2023-2025 (DVF)</t>
        </is>
      </c>
    </row>
    <row r="10">
      <c r="A10" s="28" t="inlineStr">
        <is>
          <t>Lecture du prix</t>
        </is>
      </c>
      <c r="B10" s="29" t="inlineStr">
        <is>
          <t>Prime explicable : emplacement parisien recherché ; la possibilité de restauration est un atout rare.</t>
        </is>
      </c>
    </row>
    <row r="11">
      <c r="A11" s="28" t="inlineStr">
        <is>
          <t>Alertes</t>
        </is>
      </c>
      <c r="B11" s="29" t="inlineStr">
        <is>
          <t>loyer_estime · occupation_a_confirmer</t>
        </is>
      </c>
    </row>
    <row r="12" ht="110" customHeight="1">
      <c r="A12" s="28" t="inlineStr">
        <is>
          <t>Description</t>
        </is>
      </c>
      <c r="B12" s="29" t="inlineStr">
        <is>
          <t>Vente de murs de boutique libres – Rue Sedaine, Paris 11ᵉ Idéalement située rue Sedaine, dans un secteur dynamique en plein essor bénéficiant de l'implantation de nombreux commerces variés et de qualité, cette belle boutique libre d'occupation développe une superficie de 42 m² de plain-pied. Elle bénéficie d'une vitrine de 4 mètres linéaires, offrant une excellente visibilité. En parfait état général, le local comprend une pièce sur rue avec point d'eau, une pièce en arrière-boutique disposant d'une fenêtre et d'un accès direct sur cour, un WC et un couloir de distribution. Atout majeur : l'absence de murs porteurs permet de repenser entièrement l'agencement et d'ouvrir les espaces selon vos besoins. Ce bien conviendra aussi bien à un exploitant qu'à un investisseur, avec une valeur locative estimée à 24 000 € HT HC par an. Tous les commerces sont envisageables, à l'exception des activités de restauration nécessitant un conduit d'extraction, le local n'en étant pas équipé. Prix de vente : 387 000 € FAI Réf. Agence : VEMU 1027</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2026-10-31T01:15:24Z</dcterms:created>
  <dcterms:modified xsi:type="dcterms:W3CDTF">2026-10-31T01:15:24Z</dcterms:modified>
</cp:coreProperties>
</file>