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'Synthèse'!$A$1:$C$59</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apcommerces.fr/annonces/local-commercial-paris-15e-75015-r458100119"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papcommerces.fr/annonces/local-commercial-paris-15e-75015-r458100119" TargetMode="External" Id="rId1" /></Relationships>
</file>

<file path=xl/worksheets/sheet1.xml><?xml version="1.0" encoding="utf-8"?>
<worksheet xmlns="http://schemas.openxmlformats.org/spreadsheetml/2006/main">
  <sheetPr>
    <outlinePr summaryBelow="1" summaryRight="1"/>
    <pageSetUpPr fitToPage="1"/>
  </sheetPr>
  <dimension ref="A1:F58"/>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 Paris 15E (75015)</t>
        </is>
      </c>
    </row>
    <row r="4">
      <c r="A4" s="4" t="inlineStr">
        <is>
          <t>Paris 15E (75015) (75015) — annonce papcommerces du 2026-07-11</t>
        </is>
      </c>
      <c r="C4" s="5" t="inlineStr">
        <is>
          <t>Voir l'annonce en ligne ↗</t>
        </is>
      </c>
    </row>
    <row r="5">
      <c r="A5" s="6" t="inlineStr">
        <is>
          <t>Dossier généré le 23/10/2026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B26</f>
        <v/>
      </c>
      <c r="E8" s="6" t="inlineStr">
        <is>
          <t>Crédit + charges / mois</t>
        </is>
      </c>
      <c r="F8" s="8">
        <f>B39-(B44+B45+B46)/12</f>
        <v/>
      </c>
    </row>
    <row r="9">
      <c r="A9" s="9" t="inlineStr">
        <is>
          <t>Apport nécessaire</t>
        </is>
      </c>
      <c r="B9" s="10">
        <f>B37</f>
        <v/>
      </c>
      <c r="E9" s="6" t="inlineStr">
        <is>
          <t>Cash-flow</t>
        </is>
      </c>
      <c r="F9" s="8">
        <f>B50</f>
        <v/>
      </c>
    </row>
    <row r="10">
      <c r="A10" s="9" t="inlineStr">
        <is>
          <t>Mensualité de crédit estimée</t>
        </is>
      </c>
      <c r="B10" s="11">
        <f>B39</f>
        <v/>
      </c>
    </row>
    <row r="11">
      <c r="A11" s="9" t="inlineStr">
        <is>
          <t>Cash-flow mensuel attendu</t>
        </is>
      </c>
      <c r="B11" s="11">
        <f>B50</f>
        <v/>
      </c>
    </row>
    <row r="12">
      <c r="A12" s="9" t="inlineStr">
        <is>
          <t>DSCR (≥ 1,20 rassure)</t>
        </is>
      </c>
      <c r="B12" s="12">
        <f>B55</f>
        <v/>
      </c>
    </row>
    <row r="13">
      <c r="A13" s="13" t="inlineStr">
        <is>
          <t>EN CLAIR — Sur la base d'un loyer ESTIMÉ (pas de bail signé à ce stade) : aux hypothèses de ce dossier (apport 20 %, crédit 5,34 % sur 20 ans, charges provisionnées), il reste environ 41 €/mois à financer en plus du loyer — marge de négociation ou apport supplémentaire à prévoir.</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26</v>
      </c>
    </row>
    <row r="18">
      <c r="A18" s="14" t="inlineStr">
        <is>
          <t>Prix affiché</t>
        </is>
      </c>
      <c r="B18" s="17" t="n">
        <v>276000</v>
      </c>
    </row>
    <row r="19">
      <c r="A19" s="14" t="inlineStr">
        <is>
          <t>Prix au m²</t>
        </is>
      </c>
      <c r="B19" s="17">
        <f>IFERROR(B18/B17,"")</f>
        <v/>
      </c>
    </row>
    <row r="20">
      <c r="A20" s="14" t="inlineStr">
        <is>
          <t>Loyer mensuel HT</t>
        </is>
      </c>
      <c r="B20" s="17" t="n">
        <v>1850</v>
      </c>
      <c r="C20" s="18" t="inlineStr">
        <is>
          <t>loyer du bail en place (à faire confirmer par le bail)</t>
        </is>
      </c>
    </row>
    <row r="21">
      <c r="A21" s="14" t="inlineStr">
        <is>
          <t>Marché local (prix/m²)</t>
        </is>
      </c>
      <c r="B21" s="15" t="inlineStr">
        <is>
          <t>4 500 à 9 250 €/m²</t>
        </is>
      </c>
      <c r="C21" s="18" t="inlineStr">
        <is>
          <t>ce bien est 55 % au-dessus de la médiane locale</t>
        </is>
      </c>
    </row>
    <row r="22">
      <c r="A22" s="14" t="inlineStr">
        <is>
          <t>Source de la fourchette</t>
        </is>
      </c>
      <c r="B22" s="15" t="inlineStr">
        <is>
          <t>553 ventes réelles 2023-2025 (DVF)</t>
        </is>
      </c>
      <c r="C22" s="18" t="inlineStr">
        <is>
          <t>DVF = prix réellement payés, enregistrés chez le notaire (data.gouv.fr)</t>
        </is>
      </c>
    </row>
    <row r="23">
      <c r="A23" s="14" t="inlineStr">
        <is>
          <t>Évolution du prix demandé</t>
        </is>
      </c>
      <c r="B23" s="15" t="inlineStr">
        <is>
          <t>279 000 € (11/07) → 276 000 € (11/09)  —  −1.1 % depuis la première vue</t>
        </is>
      </c>
      <c r="C23" s="18" t="inlineStr">
        <is>
          <t>un prix qui baisse est un levier de négociation documenté</t>
        </is>
      </c>
    </row>
    <row r="25" ht="18" customHeight="1">
      <c r="A25" s="7" t="inlineStr">
        <is>
          <t>HYPOTHÈSES — cellules jaunes à ajuster avec votre conseiller</t>
        </is>
      </c>
    </row>
    <row r="26">
      <c r="A26" s="14" t="inlineStr">
        <is>
          <t>Prix négocié retenu</t>
        </is>
      </c>
      <c r="B26" s="19" t="n">
        <v>276000</v>
      </c>
      <c r="C26" s="18" t="inlineStr">
        <is>
          <t>par défaut le prix affiché — un prix demandé se négocie</t>
        </is>
      </c>
    </row>
    <row r="27">
      <c r="A27" s="14" t="inlineStr">
        <is>
          <t>Frais d'acquisition (notaire, garanties)</t>
        </is>
      </c>
      <c r="B27" s="20" t="n">
        <v>0.08</v>
      </c>
    </row>
    <row r="28">
      <c r="A28" s="14" t="inlineStr">
        <is>
          <t>Apport personnel</t>
        </is>
      </c>
      <c r="B28" s="20" t="n">
        <v>0.2</v>
      </c>
    </row>
    <row r="29">
      <c r="A29" s="14" t="inlineStr">
        <is>
          <t>Taux du crédit (hors assurance)</t>
        </is>
      </c>
      <c r="B29" s="20" t="n">
        <v>0.0534</v>
      </c>
    </row>
    <row r="30">
      <c r="A30" s="14" t="inlineStr">
        <is>
          <t>Durée du crédit (années)</t>
        </is>
      </c>
      <c r="B30" s="21" t="n">
        <v>20</v>
      </c>
    </row>
    <row r="31">
      <c r="A31" s="14" t="inlineStr">
        <is>
          <t>Taxe foncière (en mois de loyer par an)</t>
        </is>
      </c>
      <c r="B31" s="22" t="n">
        <v>1</v>
      </c>
      <c r="C31" s="18" t="inlineStr">
        <is>
          <t>à remplacer par le montant réel dès que connu</t>
        </is>
      </c>
    </row>
    <row r="32">
      <c r="A32" s="14" t="inlineStr">
        <is>
          <t>Provision entretien &amp; vacance (% du loyer)</t>
        </is>
      </c>
      <c r="B32" s="20" t="n">
        <v>0.05</v>
      </c>
    </row>
    <row r="33">
      <c r="A33" s="14" t="inlineStr">
        <is>
          <t>Assurance propriétaire (PNO, €/an)</t>
        </is>
      </c>
      <c r="B33" s="19" t="n">
        <v>300</v>
      </c>
    </row>
    <row r="35" ht="18" customHeight="1">
      <c r="A35" s="7" t="inlineStr">
        <is>
          <t>PLAN DE FINANCEMENT</t>
        </is>
      </c>
    </row>
    <row r="36">
      <c r="A36" s="14" t="inlineStr">
        <is>
          <t>Coût d'acquisition total</t>
        </is>
      </c>
      <c r="B36" s="17">
        <f>B26*(1+B27)</f>
        <v/>
      </c>
      <c r="C36" s="18" t="inlineStr">
        <is>
          <t>prix négocié + frais d'acquisition</t>
        </is>
      </c>
    </row>
    <row r="37">
      <c r="A37" s="14" t="inlineStr">
        <is>
          <t>Apport personnel</t>
        </is>
      </c>
      <c r="B37" s="17">
        <f>B36*B28</f>
        <v/>
      </c>
    </row>
    <row r="38">
      <c r="A38" s="14" t="inlineStr">
        <is>
          <t>Montant emprunté</t>
        </is>
      </c>
      <c r="B38" s="17">
        <f>B36-B37</f>
        <v/>
      </c>
    </row>
    <row r="39">
      <c r="A39" s="14" t="inlineStr">
        <is>
          <t>Mensualité du crédit</t>
        </is>
      </c>
      <c r="B39" s="23">
        <f>IFERROR(-PMT(B29/12,B30*12,B38),0)</f>
        <v/>
      </c>
    </row>
    <row r="40">
      <c r="A40" s="14" t="inlineStr">
        <is>
          <t>Service de la dette (annuel)</t>
        </is>
      </c>
      <c r="B40" s="17">
        <f>B39*12</f>
        <v/>
      </c>
    </row>
    <row r="42" ht="18" customHeight="1">
      <c r="A42" s="7" t="inlineStr">
        <is>
          <t>EXPLOITATION ANNUELLE</t>
        </is>
      </c>
    </row>
    <row r="43">
      <c r="A43" s="14" t="inlineStr">
        <is>
          <t>Loyers annuels HT</t>
        </is>
      </c>
      <c r="B43" s="17">
        <f>IFERROR(B20*12,0)</f>
        <v/>
      </c>
    </row>
    <row r="44">
      <c r="A44" s="14" t="inlineStr">
        <is>
          <t>− Taxe foncière</t>
        </is>
      </c>
      <c r="B44" s="17">
        <f>-IFERROR(B20*B31,0)</f>
        <v/>
      </c>
    </row>
    <row r="45">
      <c r="A45" s="14" t="inlineStr">
        <is>
          <t>− Entretien &amp; vacance locative</t>
        </is>
      </c>
      <c r="B45" s="17">
        <f>-B43*B32</f>
        <v/>
      </c>
    </row>
    <row r="46">
      <c r="A46" s="14" t="inlineStr">
        <is>
          <t>− Assurance PNO</t>
        </is>
      </c>
      <c r="B46" s="17">
        <f>-B33</f>
        <v/>
      </c>
    </row>
    <row r="47">
      <c r="A47" s="14" t="inlineStr">
        <is>
          <t>Revenu net avant crédit</t>
        </is>
      </c>
      <c r="B47" s="17">
        <f>B43+B44+B45+B46</f>
        <v/>
      </c>
    </row>
    <row r="48">
      <c r="A48" s="14" t="inlineStr">
        <is>
          <t>− Remboursement du crédit</t>
        </is>
      </c>
      <c r="B48" s="17">
        <f>-B40</f>
        <v/>
      </c>
    </row>
    <row r="49">
      <c r="A49" s="14" t="inlineStr">
        <is>
          <t>Cash-flow annuel</t>
        </is>
      </c>
      <c r="B49" s="17">
        <f>B47-B40</f>
        <v/>
      </c>
    </row>
    <row r="50">
      <c r="A50" s="14" t="inlineStr">
        <is>
          <t>Cash-flow mensuel</t>
        </is>
      </c>
      <c r="B50" s="24">
        <f>B49/12</f>
        <v/>
      </c>
      <c r="C50" s="18" t="inlineStr">
        <is>
          <t>positif : le bien se paie tout seul, loyer ≥ crédit + charges</t>
        </is>
      </c>
    </row>
    <row r="52" ht="18" customHeight="1">
      <c r="A52" s="7" t="inlineStr">
        <is>
          <t>LES RATIOS QUE REGARDE LE BANQUIER</t>
        </is>
      </c>
    </row>
    <row r="53">
      <c r="A53" s="14" t="inlineStr">
        <is>
          <t>Rendement brut</t>
        </is>
      </c>
      <c r="B53" s="25">
        <f>IFERROR(B43/B26,"")</f>
        <v/>
      </c>
      <c r="C53" s="18" t="inlineStr">
        <is>
          <t>loyer annuel ÷ prix — la base de comparaison des biens</t>
        </is>
      </c>
    </row>
    <row r="54">
      <c r="A54" s="14" t="inlineStr">
        <is>
          <t>Rendement net avant crédit</t>
        </is>
      </c>
      <c r="B54" s="25">
        <f>IFERROR(B47/B36,"")</f>
        <v/>
      </c>
      <c r="C54" s="18" t="inlineStr">
        <is>
          <t>après taxe foncière, entretien et assurance</t>
        </is>
      </c>
    </row>
    <row r="55">
      <c r="A55" s="14" t="inlineStr">
        <is>
          <t>DSCR — couverture de la dette</t>
        </is>
      </c>
      <c r="B55" s="26">
        <f>IFERROR(B47/B40,"")</f>
        <v/>
      </c>
      <c r="C55" s="18" t="inlineStr">
        <is>
          <t>revenu net ÷ crédit : ≥ 1,20 rassure une banque</t>
        </is>
      </c>
    </row>
    <row r="56">
      <c r="A56" s="14" t="inlineStr">
        <is>
          <t>LTV — part financée par la banque</t>
        </is>
      </c>
      <c r="B56" s="25">
        <f>IFERROR(B38/B26,"")</f>
        <v/>
      </c>
      <c r="C56" s="18" t="inlineStr">
        <is>
          <t>≤ 80 % est la zone de confort bancaire</t>
        </is>
      </c>
    </row>
    <row r="57">
      <c r="A57" s="14" t="inlineStr">
        <is>
          <t>Effort d'épargne mensuel si négatif</t>
        </is>
      </c>
      <c r="B57" s="23">
        <f>MAX(0,-B49/12)</f>
        <v/>
      </c>
    </row>
    <row r="58">
      <c r="A58" s="14" t="inlineStr">
        <is>
          <t>Score de l'outil de veille</t>
        </is>
      </c>
      <c r="B58" s="15" t="inlineStr">
        <is>
          <t>60/100</t>
        </is>
      </c>
      <c r="C58" s="18" t="inlineStr">
        <is>
          <t>rendement, emplacement, prix vs marché, financement, fiscalité</t>
        </is>
      </c>
    </row>
  </sheetData>
  <mergeCells count="11">
    <mergeCell ref="A4:B4"/>
    <mergeCell ref="A25:C25"/>
    <mergeCell ref="A42:C42"/>
    <mergeCell ref="A1:C1"/>
    <mergeCell ref="A3:C3"/>
    <mergeCell ref="A13:C14"/>
    <mergeCell ref="A35:C35"/>
    <mergeCell ref="A15:C15"/>
    <mergeCell ref="A7:C7"/>
    <mergeCell ref="A2:C2"/>
    <mergeCell ref="A52:C52"/>
  </mergeCells>
  <conditionalFormatting sqref="B49">
    <cfRule type="cellIs" priority="1" operator="greaterThanOrEqual" dxfId="0">
      <formula>0</formula>
    </cfRule>
    <cfRule type="cellIs" priority="2" operator="lessThan" dxfId="1">
      <formula>0</formula>
    </cfRule>
  </conditionalFormatting>
  <conditionalFormatting sqref="B50">
    <cfRule type="cellIs" priority="3" operator="greaterThanOrEqual" dxfId="0">
      <formula>0</formula>
    </cfRule>
    <cfRule type="cellIs" priority="4" operator="lessThan" dxfId="1">
      <formula>0</formula>
    </cfRule>
  </conditionalFormatting>
  <conditionalFormatting sqref="B55">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'Synthèse'!B30</f>
        <v/>
      </c>
    </row>
    <row r="2">
      <c r="A2" t="n">
        <v>1</v>
      </c>
      <c r="B2" s="8">
        <f>IF(A2&lt;=$G$1,'Synthèse'!$B$38,"")</f>
        <v/>
      </c>
      <c r="C2" s="8">
        <f>IF(A2&lt;=$G$1,B2*$G$2,"")</f>
        <v/>
      </c>
      <c r="D2" s="8">
        <f>IF(A2&lt;=$G$1,MIN(B2,$G$3-C2),"")</f>
        <v/>
      </c>
      <c r="E2" s="8">
        <f>IF(A2&lt;=$G$1,MAX(0,B2-D2),"")</f>
        <v/>
      </c>
      <c r="F2" s="6" t="inlineStr">
        <is>
          <t>Tableau indicatif (pas annuel) — l'offre de prêt de la banque fait foi.</t>
        </is>
      </c>
      <c r="G2">
        <f>'Synthèse'!B29</f>
        <v/>
      </c>
    </row>
    <row r="3">
      <c r="A3" t="n">
        <v>2</v>
      </c>
      <c r="B3" s="8">
        <f>IF(A3&lt;=$G$1,E2,"")</f>
        <v/>
      </c>
      <c r="C3" s="8">
        <f>IF(A3&lt;=$G$1,B3*$G$2,"")</f>
        <v/>
      </c>
      <c r="D3" s="8">
        <f>IF(A3&lt;=$G$1,MIN(B3,$G$3-C3),"")</f>
        <v/>
      </c>
      <c r="E3" s="8">
        <f>IF(A3&lt;=$G$1,MAX(0,B3-D3),"")</f>
        <v/>
      </c>
      <c r="G3">
        <f>'Synthèse'!B40</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Local commercial Paris 15E (75015)</t>
        </is>
      </c>
    </row>
    <row r="2">
      <c r="A2" s="28" t="inlineStr">
        <is>
          <t>Lien</t>
        </is>
      </c>
      <c r="B2" s="30" t="inlineStr">
        <is>
          <t>https://www.papcommerces.fr/annonces/local-commercial-paris-15e-75015-r458100119</t>
        </is>
      </c>
    </row>
    <row r="3">
      <c r="A3" s="28" t="inlineStr">
        <is>
          <t>Ville</t>
        </is>
      </c>
      <c r="B3" s="29" t="inlineStr">
        <is>
          <t>Paris 15E (75015) (75015)</t>
        </is>
      </c>
    </row>
    <row r="4">
      <c r="A4" s="28" t="inlineStr">
        <is>
          <t>Source</t>
        </is>
      </c>
      <c r="B4" s="29" t="inlineStr">
        <is>
          <t>papcommerces</t>
        </is>
      </c>
    </row>
    <row r="5">
      <c r="A5" s="28" t="inlineStr">
        <is>
          <t>Première détection</t>
        </is>
      </c>
      <c r="B5" s="29" t="inlineStr">
        <is>
          <t>2026-07-11</t>
        </is>
      </c>
    </row>
    <row r="6">
      <c r="A6" s="28" t="inlineStr">
        <is>
          <t>Type</t>
        </is>
      </c>
      <c r="B6" s="29" t="inlineStr">
        <is>
          <t>Murs libres</t>
        </is>
      </c>
    </row>
    <row r="7">
      <c r="A7" s="28" t="inlineStr">
        <is>
          <t>Caractéristiques</t>
        </is>
      </c>
      <c r="B7" s="29" t="inlineStr">
        <is>
          <t>Extraction / vraie restauration possible · Toutes activités</t>
        </is>
      </c>
    </row>
    <row r="8">
      <c r="A8" s="28" t="inlineStr">
        <is>
          <t>Évolution du prix</t>
        </is>
      </c>
      <c r="B8" s="29" t="inlineStr">
        <is>
          <t>279 000 € (11/07) → 276 000 € (11/09)  —  −1.1 % depuis la première vue</t>
        </is>
      </c>
    </row>
    <row r="9">
      <c r="A9" s="28" t="inlineStr">
        <is>
          <t>Fourchette de marché</t>
        </is>
      </c>
      <c r="B9" s="29" t="inlineStr">
        <is>
          <t>553 ventes réelles 2023-2025 (DVF)</t>
        </is>
      </c>
    </row>
    <row r="10">
      <c r="A10" s="28" t="inlineStr">
        <is>
          <t>Lecture du prix</t>
        </is>
      </c>
      <c r="B10" s="29" t="inlineStr">
        <is>
          <t>Prime explicable : emplacement parisien recherché ; la possibilité de restauration est un atout rare.</t>
        </is>
      </c>
    </row>
    <row r="11">
      <c r="A11" s="28" t="inlineStr">
        <is>
          <t>Alertes</t>
        </is>
      </c>
      <c r="B11" s="29" t="inlineStr">
        <is>
          <t>loyer_estime</t>
        </is>
      </c>
    </row>
    <row r="12" ht="110" customHeight="1">
      <c r="A12" s="28" t="inlineStr">
        <is>
          <t>Description</t>
        </is>
      </c>
      <c r="B12" s="29" t="inlineStr">
        <is>
          <t>Vente murs boutique occupés avec extraction - Secteur Place St Charles 75015 Paris - Métro: Charles Michels. Top emplacement! situé à proximité de la place St Charles ! Superbe boutique de 25 m² de plain-pied comprenant un espace de vente, une cuisine (actuellement exploitée dans le cadre d’une activité de traiteur)avec extraction de 350 mm, un point d’eau et WC. Le bien dispose également de deux caves d’environ 6 m² chacune. avec cuisine. Environnement très commerçant avec de nombreux bureaux, écoles hôtels aux alentours. Bail commercial 3/6/9, conclu le 17 septembre 2025 et arrivant à échéan</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2026-10-23T00:13:12Z</dcterms:created>
  <dcterms:modified xsi:type="dcterms:W3CDTF">2026-10-23T00:13:12Z</dcterms:modified>
</cp:coreProperties>
</file>