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'Synthèse'!$A$1:$C$61</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4">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b val="1"/>
      <color rgb="0098351B"/>
      <sz val="10"/>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2">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9" fillId="0" borderId="1" pivotButton="0" quotePrefix="0" xfId="0"/>
    <xf numFmtId="165" fontId="10" fillId="0" borderId="1" pivotButton="0" quotePrefix="0" xfId="0"/>
    <xf numFmtId="168" fontId="10" fillId="0" borderId="1" pivotButton="0" quotePrefix="0" xfId="0"/>
    <xf numFmtId="2" fontId="10" fillId="0" borderId="1" pivotButton="0" quotePrefix="0" xfId="0"/>
    <xf numFmtId="0" fontId="11"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0" fontId="5" fillId="0" borderId="0" applyAlignment="1" pivotButton="0" quotePrefix="0" xfId="0">
      <alignment vertical="center" wrapText="1"/>
    </xf>
    <xf numFmtId="165" fontId="7" fillId="4" borderId="1" pivotButton="0" quotePrefix="0" xfId="0"/>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8" fillId="0" borderId="0" applyAlignment="1" pivotButton="0" quotePrefix="0" xfId="0">
      <alignment vertical="top" wrapText="1"/>
    </xf>
    <xf numFmtId="0" fontId="6" fillId="2" borderId="0" applyAlignment="1" pivotButton="0" quotePrefix="0" xfId="0">
      <alignment vertical="center" wrapText="1"/>
    </xf>
    <xf numFmtId="0" fontId="12" fillId="0" borderId="0" pivotButton="0" quotePrefix="0" xfId="0"/>
    <xf numFmtId="0" fontId="0" fillId="0" borderId="0" applyAlignment="1" pivotButton="0" quotePrefix="0" xfId="0">
      <alignment vertical="top" wrapText="1"/>
    </xf>
    <xf numFmtId="0" fontId="13"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essionpme.com/annonce,immo-entreprise-vente-local-commercial-boutique-paris-6e-75006,2771365,A,offre.html"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cessionpme.com/annonce,immo-entreprise-vente-local-commercial-boutique-paris-6e-75006,2771365,A,offre.html" TargetMode="External" Id="rId1" /></Relationships>
</file>

<file path=xl/worksheets/sheet1.xml><?xml version="1.0" encoding="utf-8"?>
<worksheet xmlns="http://schemas.openxmlformats.org/spreadsheetml/2006/main">
  <sheetPr>
    <outlinePr summaryBelow="1" summaryRight="1"/>
    <pageSetUpPr fitToPage="1"/>
  </sheetPr>
  <dimension ref="A1:F60"/>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Vente Local commercial 44m² Paris</t>
        </is>
      </c>
    </row>
    <row r="4">
      <c r="A4" s="4" t="inlineStr">
        <is>
          <t>Paris 6e (75006) — annonce cessionpme du 2026-09-01</t>
        </is>
      </c>
      <c r="C4" s="5" t="inlineStr">
        <is>
          <t>Voir l'annonce en ligne ↗</t>
        </is>
      </c>
    </row>
    <row r="5">
      <c r="A5" s="6" t="inlineStr">
        <is>
          <t>Dossier généré le 17/10/2026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B25</f>
        <v/>
      </c>
      <c r="E8" s="6" t="inlineStr">
        <is>
          <t>Crédit + charges / mois</t>
        </is>
      </c>
      <c r="F8" s="8">
        <f>B38-(B43+B44+B45)/12</f>
        <v/>
      </c>
    </row>
    <row r="9">
      <c r="A9" s="9" t="inlineStr">
        <is>
          <t>Apport nécessaire</t>
        </is>
      </c>
      <c r="B9" s="10">
        <f>B36</f>
        <v/>
      </c>
      <c r="E9" s="6" t="inlineStr">
        <is>
          <t>Cash-flow</t>
        </is>
      </c>
      <c r="F9" s="8">
        <f>B49</f>
        <v/>
      </c>
    </row>
    <row r="10">
      <c r="A10" s="9" t="inlineStr">
        <is>
          <t>Mensualité de crédit estimée</t>
        </is>
      </c>
      <c r="B10" s="11">
        <f>B38</f>
        <v/>
      </c>
    </row>
    <row r="11">
      <c r="A11" s="9" t="inlineStr">
        <is>
          <t>Cash-flow mensuel attendu</t>
        </is>
      </c>
      <c r="B11" s="11">
        <f>B49</f>
        <v/>
      </c>
    </row>
    <row r="12">
      <c r="A12" s="9" t="inlineStr">
        <is>
          <t>DSCR (≥ 1,20 rassure)</t>
        </is>
      </c>
      <c r="B12" s="12">
        <f>B54</f>
        <v/>
      </c>
    </row>
    <row r="13">
      <c r="A13" s="13" t="inlineStr">
        <is>
          <t>EN CLAIR — Sur la base d'un loyer ESTIMÉ (pas de bail signé à ce stade) : aux hypothèses de ce dossier (apport 20 %, crédit 5,34 % sur 20 ans, charges provisionnées), le bien s'autofinance : le loyer couvre crédit et charges et laisse environ +754 €/mois.</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44</v>
      </c>
    </row>
    <row r="18">
      <c r="A18" s="14" t="inlineStr">
        <is>
          <t>Prix affiché</t>
        </is>
      </c>
      <c r="B18" s="17" t="n">
        <v>200000</v>
      </c>
    </row>
    <row r="19">
      <c r="A19" s="14" t="inlineStr">
        <is>
          <t>Prix au m²</t>
        </is>
      </c>
      <c r="B19" s="17">
        <f>IFERROR(B18/B17,"")</f>
        <v/>
      </c>
    </row>
    <row r="20">
      <c r="A20" s="14" t="inlineStr">
        <is>
          <t>Loyer mensuel HT</t>
        </is>
      </c>
      <c r="B20" s="17" t="n">
        <v>2252</v>
      </c>
      <c r="C20" s="18" t="inlineStr">
        <is>
          <t>loyer du bail en place (à faire confirmer par le bail)</t>
        </is>
      </c>
    </row>
    <row r="21">
      <c r="A21" s="14" t="inlineStr">
        <is>
          <t>Marché local (prix/m²)</t>
        </is>
      </c>
      <c r="B21" s="15" t="inlineStr">
        <is>
          <t>6 858 à 14 091 €/m²</t>
        </is>
      </c>
      <c r="C21" s="18" t="inlineStr">
        <is>
          <t>ce bien est 59 % SOUS la médiane locale</t>
        </is>
      </c>
    </row>
    <row r="22">
      <c r="A22" s="14" t="inlineStr">
        <is>
          <t>Source de la fourchette</t>
        </is>
      </c>
      <c r="B22" s="15" t="inlineStr">
        <is>
          <t>284 ventes réelles 2023-2025 (DVF)</t>
        </is>
      </c>
      <c r="C22" s="18" t="inlineStr">
        <is>
          <t>DVF = prix réellement payés, enregistrés chez le notaire (data.gouv.fr)</t>
        </is>
      </c>
    </row>
    <row r="24" ht="18" customHeight="1">
      <c r="A24" s="7" t="inlineStr">
        <is>
          <t>HYPOTHÈSES — cellules jaunes à ajuster avec votre conseiller</t>
        </is>
      </c>
    </row>
    <row r="25">
      <c r="A25" s="14" t="inlineStr">
        <is>
          <t>Prix négocié retenu</t>
        </is>
      </c>
      <c r="B25" s="19" t="n">
        <v>200000</v>
      </c>
      <c r="C25" s="18" t="inlineStr">
        <is>
          <t>par défaut le prix affiché — un prix demandé se négocie</t>
        </is>
      </c>
    </row>
    <row r="26">
      <c r="A26" s="14" t="inlineStr">
        <is>
          <t>Frais d'acquisition (notaire, garanties)</t>
        </is>
      </c>
      <c r="B26" s="20" t="n">
        <v>0.08</v>
      </c>
    </row>
    <row r="27">
      <c r="A27" s="14" t="inlineStr">
        <is>
          <t>Apport personnel</t>
        </is>
      </c>
      <c r="B27" s="20" t="n">
        <v>0.2</v>
      </c>
    </row>
    <row r="28">
      <c r="A28" s="14" t="inlineStr">
        <is>
          <t>Taux du crédit (hors assurance)</t>
        </is>
      </c>
      <c r="B28" s="20" t="n">
        <v>0.0534</v>
      </c>
    </row>
    <row r="29">
      <c r="A29" s="14" t="inlineStr">
        <is>
          <t>Durée du crédit (années)</t>
        </is>
      </c>
      <c r="B29" s="21" t="n">
        <v>20</v>
      </c>
    </row>
    <row r="30">
      <c r="A30" s="14" t="inlineStr">
        <is>
          <t>Taxe foncière (en mois de loyer par an)</t>
        </is>
      </c>
      <c r="B30" s="22" t="n">
        <v>1</v>
      </c>
      <c r="C30" s="18" t="inlineStr">
        <is>
          <t>à remplacer par le montant réel dès que connu</t>
        </is>
      </c>
    </row>
    <row r="31">
      <c r="A31" s="14" t="inlineStr">
        <is>
          <t>Provision entretien &amp; vacance (% du loyer)</t>
        </is>
      </c>
      <c r="B31" s="20" t="n">
        <v>0.05</v>
      </c>
    </row>
    <row r="32">
      <c r="A32" s="14" t="inlineStr">
        <is>
          <t>Assurance propriétaire (PNO, €/an)</t>
        </is>
      </c>
      <c r="B32" s="19" t="n">
        <v>300</v>
      </c>
    </row>
    <row r="34" ht="18" customHeight="1">
      <c r="A34" s="7" t="inlineStr">
        <is>
          <t>PLAN DE FINANCEMENT</t>
        </is>
      </c>
    </row>
    <row r="35">
      <c r="A35" s="14" t="inlineStr">
        <is>
          <t>Coût d'acquisition total</t>
        </is>
      </c>
      <c r="B35" s="17">
        <f>B25*(1+B26)</f>
        <v/>
      </c>
      <c r="C35" s="18" t="inlineStr">
        <is>
          <t>prix négocié + frais d'acquisition</t>
        </is>
      </c>
    </row>
    <row r="36">
      <c r="A36" s="14" t="inlineStr">
        <is>
          <t>Apport personnel</t>
        </is>
      </c>
      <c r="B36" s="17">
        <f>B35*B27</f>
        <v/>
      </c>
    </row>
    <row r="37">
      <c r="A37" s="14" t="inlineStr">
        <is>
          <t>Montant emprunté</t>
        </is>
      </c>
      <c r="B37" s="17">
        <f>B35-B36</f>
        <v/>
      </c>
    </row>
    <row r="38">
      <c r="A38" s="14" t="inlineStr">
        <is>
          <t>Mensualité du crédit</t>
        </is>
      </c>
      <c r="B38" s="23">
        <f>IFERROR(-PMT(B28/12,B29*12,B37),0)</f>
        <v/>
      </c>
    </row>
    <row r="39">
      <c r="A39" s="14" t="inlineStr">
        <is>
          <t>Service de la dette (annuel)</t>
        </is>
      </c>
      <c r="B39" s="17">
        <f>B38*12</f>
        <v/>
      </c>
    </row>
    <row r="41" ht="18" customHeight="1">
      <c r="A41" s="7" t="inlineStr">
        <is>
          <t>EXPLOITATION ANNUELLE</t>
        </is>
      </c>
    </row>
    <row r="42">
      <c r="A42" s="14" t="inlineStr">
        <is>
          <t>Loyers annuels HT</t>
        </is>
      </c>
      <c r="B42" s="17">
        <f>IFERROR(B20*12,0)</f>
        <v/>
      </c>
    </row>
    <row r="43">
      <c r="A43" s="14" t="inlineStr">
        <is>
          <t>− Taxe foncière</t>
        </is>
      </c>
      <c r="B43" s="17">
        <f>-IFERROR(B20*B30,0)</f>
        <v/>
      </c>
    </row>
    <row r="44">
      <c r="A44" s="14" t="inlineStr">
        <is>
          <t>− Entretien &amp; vacance locative</t>
        </is>
      </c>
      <c r="B44" s="17">
        <f>-B42*B31</f>
        <v/>
      </c>
    </row>
    <row r="45">
      <c r="A45" s="14" t="inlineStr">
        <is>
          <t>− Assurance PNO</t>
        </is>
      </c>
      <c r="B45" s="17">
        <f>-B32</f>
        <v/>
      </c>
    </row>
    <row r="46">
      <c r="A46" s="14" t="inlineStr">
        <is>
          <t>Revenu net avant crédit</t>
        </is>
      </c>
      <c r="B46" s="17">
        <f>B42+B43+B44+B45</f>
        <v/>
      </c>
    </row>
    <row r="47">
      <c r="A47" s="14" t="inlineStr">
        <is>
          <t>− Remboursement du crédit</t>
        </is>
      </c>
      <c r="B47" s="17">
        <f>-B39</f>
        <v/>
      </c>
    </row>
    <row r="48">
      <c r="A48" s="14" t="inlineStr">
        <is>
          <t>Cash-flow annuel</t>
        </is>
      </c>
      <c r="B48" s="17">
        <f>B46-B39</f>
        <v/>
      </c>
    </row>
    <row r="49">
      <c r="A49" s="14" t="inlineStr">
        <is>
          <t>Cash-flow mensuel</t>
        </is>
      </c>
      <c r="B49" s="24">
        <f>B48/12</f>
        <v/>
      </c>
      <c r="C49" s="18" t="inlineStr">
        <is>
          <t>positif : le bien se paie tout seul, loyer ≥ crédit + charges</t>
        </is>
      </c>
    </row>
    <row r="51" ht="18" customHeight="1">
      <c r="A51" s="7" t="inlineStr">
        <is>
          <t>LES RATIOS QUE REGARDE LE BANQUIER</t>
        </is>
      </c>
    </row>
    <row r="52">
      <c r="A52" s="14" t="inlineStr">
        <is>
          <t>Rendement brut</t>
        </is>
      </c>
      <c r="B52" s="25">
        <f>IFERROR(B42/B25,"")</f>
        <v/>
      </c>
      <c r="C52" s="18" t="inlineStr">
        <is>
          <t>loyer annuel ÷ prix — la base de comparaison des biens</t>
        </is>
      </c>
    </row>
    <row r="53">
      <c r="A53" s="14" t="inlineStr">
        <is>
          <t>Rendement net avant crédit</t>
        </is>
      </c>
      <c r="B53" s="25">
        <f>IFERROR(B46/B35,"")</f>
        <v/>
      </c>
      <c r="C53" s="18" t="inlineStr">
        <is>
          <t>après taxe foncière, entretien et assurance</t>
        </is>
      </c>
    </row>
    <row r="54">
      <c r="A54" s="14" t="inlineStr">
        <is>
          <t>DSCR — couverture de la dette</t>
        </is>
      </c>
      <c r="B54" s="26">
        <f>IFERROR(B46/B39,"")</f>
        <v/>
      </c>
      <c r="C54" s="18" t="inlineStr">
        <is>
          <t>revenu net ÷ crédit : ≥ 1,20 rassure une banque</t>
        </is>
      </c>
    </row>
    <row r="55">
      <c r="A55" s="14" t="inlineStr">
        <is>
          <t>LTV — part financée par la banque</t>
        </is>
      </c>
      <c r="B55" s="25">
        <f>IFERROR(B37/B25,"")</f>
        <v/>
      </c>
      <c r="C55" s="18" t="inlineStr">
        <is>
          <t>≤ 80 % est la zone de confort bancaire</t>
        </is>
      </c>
    </row>
    <row r="56">
      <c r="A56" s="14" t="inlineStr">
        <is>
          <t>Effort d'épargne mensuel si négatif</t>
        </is>
      </c>
      <c r="B56" s="23">
        <f>MAX(0,-B48/12)</f>
        <v/>
      </c>
    </row>
    <row r="57">
      <c r="A57" s="14" t="inlineStr">
        <is>
          <t>Score de l'outil de veille</t>
        </is>
      </c>
      <c r="B57" s="15" t="inlineStr">
        <is>
          <t>64/100</t>
        </is>
      </c>
      <c r="C57" s="18" t="inlineStr">
        <is>
          <t>rendement, emplacement, prix vs marché, financement, fiscalité</t>
        </is>
      </c>
    </row>
    <row r="59">
      <c r="A59" s="27" t="inlineStr">
        <is>
          <t>⚠ AVERTISSEMENT : le rendement affiché par le vendeur est anormalement élevé. Exiger le bail et les quittances avant toute offre — ce dossier reprend le loyer annoncé tel quel.</t>
        </is>
      </c>
    </row>
    <row r="60"/>
  </sheetData>
  <mergeCells count="12">
    <mergeCell ref="A4:B4"/>
    <mergeCell ref="A41:C41"/>
    <mergeCell ref="A1:C1"/>
    <mergeCell ref="A59:C60"/>
    <mergeCell ref="A3:C3"/>
    <mergeCell ref="A13:C14"/>
    <mergeCell ref="A34:C34"/>
    <mergeCell ref="A15:C15"/>
    <mergeCell ref="A7:C7"/>
    <mergeCell ref="A24:C24"/>
    <mergeCell ref="A2:C2"/>
    <mergeCell ref="A51:C51"/>
  </mergeCells>
  <conditionalFormatting sqref="B48">
    <cfRule type="cellIs" priority="1" operator="greaterThanOrEqual" dxfId="0">
      <formula>0</formula>
    </cfRule>
    <cfRule type="cellIs" priority="2" operator="lessThan" dxfId="1">
      <formula>0</formula>
    </cfRule>
  </conditionalFormatting>
  <conditionalFormatting sqref="B49">
    <cfRule type="cellIs" priority="3" operator="greaterThanOrEqual" dxfId="0">
      <formula>0</formula>
    </cfRule>
    <cfRule type="cellIs" priority="4" operator="lessThan" dxfId="1">
      <formula>0</formula>
    </cfRule>
  </conditionalFormatting>
  <conditionalFormatting sqref="B54">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8" t="inlineStr">
        <is>
          <t>Année</t>
        </is>
      </c>
      <c r="B1" s="28" t="inlineStr">
        <is>
          <t>Capital dû en début d'année</t>
        </is>
      </c>
      <c r="C1" s="28" t="inlineStr">
        <is>
          <t>Intérêts de l'année</t>
        </is>
      </c>
      <c r="D1" s="28" t="inlineStr">
        <is>
          <t>Capital remboursé</t>
        </is>
      </c>
      <c r="E1" s="28" t="inlineStr">
        <is>
          <t>Capital restant dû</t>
        </is>
      </c>
      <c r="G1">
        <f>'Synthèse'!B29</f>
        <v/>
      </c>
    </row>
    <row r="2">
      <c r="A2" t="n">
        <v>1</v>
      </c>
      <c r="B2" s="8">
        <f>IF(A2&lt;=$G$1,'Synthèse'!$B$37,"")</f>
        <v/>
      </c>
      <c r="C2" s="8">
        <f>IF(A2&lt;=$G$1,B2*$G$2,"")</f>
        <v/>
      </c>
      <c r="D2" s="8">
        <f>IF(A2&lt;=$G$1,MIN(B2,$G$3-C2),"")</f>
        <v/>
      </c>
      <c r="E2" s="8">
        <f>IF(A2&lt;=$G$1,MAX(0,B2-D2),"")</f>
        <v/>
      </c>
      <c r="F2" s="6" t="inlineStr">
        <is>
          <t>Tableau indicatif (pas annuel) — l'offre de prêt de la banque fait foi.</t>
        </is>
      </c>
      <c r="G2">
        <f>'Synthèse'!B28</f>
        <v/>
      </c>
    </row>
    <row r="3">
      <c r="A3" t="n">
        <v>2</v>
      </c>
      <c r="B3" s="8">
        <f>IF(A3&lt;=$G$1,E2,"")</f>
        <v/>
      </c>
      <c r="C3" s="8">
        <f>IF(A3&lt;=$G$1,B3*$G$2,"")</f>
        <v/>
      </c>
      <c r="D3" s="8">
        <f>IF(A3&lt;=$G$1,MIN(B3,$G$3-C3),"")</f>
        <v/>
      </c>
      <c r="E3" s="8">
        <f>IF(A3&lt;=$G$1,MAX(0,B3-D3),"")</f>
        <v/>
      </c>
      <c r="G3">
        <f>'Synthèse'!B39</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9" t="inlineStr">
        <is>
          <t>Titre</t>
        </is>
      </c>
      <c r="B1" s="30" t="inlineStr">
        <is>
          <t>Vente Local commercial 44m² Paris</t>
        </is>
      </c>
    </row>
    <row r="2">
      <c r="A2" s="29" t="inlineStr">
        <is>
          <t>Lien</t>
        </is>
      </c>
      <c r="B2" s="31" t="inlineStr">
        <is>
          <t>https://www.cessionpme.com/annonce,immo-entreprise-vente-local-commercial-boutique-paris-6e-75006,2771365,A,offre.html</t>
        </is>
      </c>
    </row>
    <row r="3">
      <c r="A3" s="29" t="inlineStr">
        <is>
          <t>Ville</t>
        </is>
      </c>
      <c r="B3" s="30" t="inlineStr">
        <is>
          <t>Paris 6e (75006)</t>
        </is>
      </c>
    </row>
    <row r="4">
      <c r="A4" s="29" t="inlineStr">
        <is>
          <t>Source</t>
        </is>
      </c>
      <c r="B4" s="30" t="inlineStr">
        <is>
          <t>cessionpme</t>
        </is>
      </c>
    </row>
    <row r="5">
      <c r="A5" s="29" t="inlineStr">
        <is>
          <t>Première détection</t>
        </is>
      </c>
      <c r="B5" s="30" t="inlineStr">
        <is>
          <t>2026-09-01</t>
        </is>
      </c>
    </row>
    <row r="6">
      <c r="A6" s="29" t="inlineStr">
        <is>
          <t>Type</t>
        </is>
      </c>
      <c r="B6" s="30" t="inlineStr">
        <is>
          <t>Murs libres</t>
        </is>
      </c>
    </row>
    <row r="7">
      <c r="A7" s="29" t="inlineStr">
        <is>
          <t>Caractéristiques</t>
        </is>
      </c>
      <c r="B7" s="30" t="inlineStr">
        <is>
          <t>Extraction / vraie restauration possible · Terrasse</t>
        </is>
      </c>
    </row>
    <row r="8">
      <c r="A8" s="29" t="inlineStr">
        <is>
          <t>Évolution du prix</t>
        </is>
      </c>
      <c r="B8" s="30" t="inlineStr">
        <is>
          <t>stable depuis la première vue</t>
        </is>
      </c>
    </row>
    <row r="9">
      <c r="A9" s="29" t="inlineStr">
        <is>
          <t>Fourchette de marché</t>
        </is>
      </c>
      <c r="B9" s="30" t="inlineStr">
        <is>
          <t>284 ventes réelles 2023-2025 (DVF)</t>
        </is>
      </c>
    </row>
    <row r="10">
      <c r="A10" s="29" t="inlineStr">
        <is>
          <t>Lecture du prix</t>
        </is>
      </c>
      <c r="B10" s="30" t="inlineStr">
        <is>
          <t>Décote sans explication visible dans l'annonce : possible bonne affaire — ou défaut caché (état, copropriété, bail) à vérifier sur place.</t>
        </is>
      </c>
    </row>
    <row r="11">
      <c r="A11" s="29" t="inlineStr">
        <is>
          <t>Alertes</t>
        </is>
      </c>
      <c r="B11" s="30" t="inlineStr">
        <is>
          <t>loyer_estime · rendement_anormalement_eleve</t>
        </is>
      </c>
    </row>
    <row r="12" ht="110" customHeight="1">
      <c r="A12" s="29" t="inlineStr">
        <is>
          <t>Description</t>
        </is>
      </c>
      <c r="B12" s="30" t="inlineStr">
        <is>
          <t>Notre équipe vous propose un restaurant 75006 d'une capacité de 24 couverts et une cuisine de plain pieds avec extraction de 400 tenu depuis 13 ans par un cuisinier japonais réalisant une cuisine bistrotière. Affaire clé en mains le matériel est récent et bien entretenu. Terrasse éphémère de 14 places. Le CA annuel moyen sur les trois dernières années est de 255K euros .Loyer de 2252 euros ttc cc /mois. Prix de cession 200K euros net vendeur. Fermeture dimanche et lundi midi. Disponibilité : Immédiate Bus Maine - Vaugirard (28, 82, 89, 92), Duroc (86), Vaneau - Saint-Romain (70) Métro Duroc (10, 13), Falguière (12), Montparnasse Bienvenue (4, 6) SNCF Paris-Montparnasse (France) Transilien Gare Montparnasse (TER), Paris Montparnasse (TER) Transilien Gare Montparnasse (N)</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2026-10-17T23:21:32Z</dcterms:created>
  <dcterms:modified xsi:type="dcterms:W3CDTF">2026-10-17T23:21:32Z</dcterms:modified>
</cp:coreProperties>
</file>