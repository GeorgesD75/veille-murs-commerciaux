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0" fontId="5" fillId="0" borderId="0" applyAlignment="1" pivotButton="0" quotePrefix="0" xfId="0">
      <alignment vertical="center" wrapText="1"/>
    </xf>
    <xf numFmtId="165" fontId="7" fillId="4" borderId="1" pivotButton="0" quotePrefix="0" xfId="0"/>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murs-commerciaux-occupes-noisy-le-sec-centre-ville--43025256"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murs-commerciaux-occupes-noisy-le-sec-centre-ville--43025256"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MURS COMMERCIAUX OCCUPÉS – NOISY-LE-SEC CENTRE-VILLE / GARE</t>
        </is>
      </c>
    </row>
    <row r="4">
      <c r="A4" s="4" t="inlineStr">
        <is>
          <t>NOISY LE SEC (93130) — annonce bureauxlocaux du 2026-10-29</t>
        </is>
      </c>
      <c r="C4" s="5" t="inlineStr">
        <is>
          <t>Voir l'annonce en ligne ↗</t>
        </is>
      </c>
    </row>
    <row r="5">
      <c r="A5" s="6" t="inlineStr">
        <is>
          <t>Dossier généré le 30/10/2026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aux hypothèses de ce dossier (apport 20 %, crédit 5,34 % sur 20 ans, charges provisionnées), le bien s'autofinance : le loyer couvre crédit et charges et laisse environ +199 €/mois.</t>
        </is>
      </c>
    </row>
    <row r="14"/>
    <row r="15" ht="18" customHeight="1">
      <c r="A15" s="7" t="inlineStr">
        <is>
          <t>LE BIEN</t>
        </is>
      </c>
    </row>
    <row r="16">
      <c r="A16" s="14" t="inlineStr">
        <is>
          <t>État locatif</t>
        </is>
      </c>
      <c r="B16" s="15" t="inlineStr">
        <is>
          <t>Murs occupés — un locataire en place paie déjà un loyer</t>
        </is>
      </c>
    </row>
    <row r="17">
      <c r="A17" s="14" t="inlineStr">
        <is>
          <t>Surface</t>
        </is>
      </c>
      <c r="B17" s="16" t="n">
        <v>50</v>
      </c>
    </row>
    <row r="18">
      <c r="A18" s="14" t="inlineStr">
        <is>
          <t>Prix affiché</t>
        </is>
      </c>
      <c r="B18" s="17" t="n">
        <v>250000</v>
      </c>
    </row>
    <row r="19">
      <c r="A19" s="14" t="inlineStr">
        <is>
          <t>Prix au m²</t>
        </is>
      </c>
      <c r="B19" s="17">
        <f>IFERROR(B18/B17,"")</f>
        <v/>
      </c>
    </row>
    <row r="20">
      <c r="A20" s="14" t="inlineStr">
        <is>
          <t>Loyer mensuel HT</t>
        </is>
      </c>
      <c r="B20" s="17" t="n">
        <v>1950</v>
      </c>
      <c r="C20" s="18" t="inlineStr">
        <is>
          <t>loyer du bail en place (à faire confirmer par le bail)</t>
        </is>
      </c>
    </row>
    <row r="21">
      <c r="A21" s="14" t="inlineStr">
        <is>
          <t>Marché local (prix/m²)</t>
        </is>
      </c>
      <c r="B21" s="15" t="inlineStr">
        <is>
          <t>1 596 à 3 200 €/m²</t>
        </is>
      </c>
      <c r="C21" s="18" t="inlineStr">
        <is>
          <t>ce bien est 117 % au-dessus de la médiane locale</t>
        </is>
      </c>
    </row>
    <row r="22">
      <c r="A22" s="14" t="inlineStr">
        <is>
          <t>Source de la fourchette</t>
        </is>
      </c>
      <c r="B22" s="15" t="inlineStr">
        <is>
          <t>30 ventes réelles 2023-2025 (DVF)</t>
        </is>
      </c>
      <c r="C22" s="18"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9" t="n">
        <v>250000</v>
      </c>
      <c r="C25" s="18"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8" t="inlineStr">
        <is>
          <t>à remplacer par le montant réel dès que connu</t>
        </is>
      </c>
    </row>
    <row r="31">
      <c r="A31" s="14" t="inlineStr">
        <is>
          <t>Provision entretien &amp; vacance (% du loyer)</t>
        </is>
      </c>
      <c r="B31" s="20" t="n">
        <v>0.05</v>
      </c>
    </row>
    <row r="32">
      <c r="A32" s="14" t="inlineStr">
        <is>
          <t>Assurance propriétaire (PNO, €/an)</t>
        </is>
      </c>
      <c r="B32" s="19" t="n">
        <v>300</v>
      </c>
    </row>
    <row r="34" ht="18" customHeight="1">
      <c r="A34" s="7" t="inlineStr">
        <is>
          <t>PLAN DE FINANCEMENT</t>
        </is>
      </c>
    </row>
    <row r="35">
      <c r="A35" s="14" t="inlineStr">
        <is>
          <t>Coût d'acquisition total</t>
        </is>
      </c>
      <c r="B35" s="17">
        <f>B25*(1+B26)</f>
        <v/>
      </c>
      <c r="C35" s="18"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8" t="inlineStr">
        <is>
          <t>positif : le bien se paie tout seul, loyer ≥ crédit + charges</t>
        </is>
      </c>
    </row>
    <row r="51" ht="18" customHeight="1">
      <c r="A51" s="7" t="inlineStr">
        <is>
          <t>LES RATIOS QUE REGARDE LE BANQUIER</t>
        </is>
      </c>
    </row>
    <row r="52">
      <c r="A52" s="14" t="inlineStr">
        <is>
          <t>Rendement brut</t>
        </is>
      </c>
      <c r="B52" s="25">
        <f>IFERROR(B42/B25,"")</f>
        <v/>
      </c>
      <c r="C52" s="18" t="inlineStr">
        <is>
          <t>loyer annuel ÷ prix — la base de comparaison des biens</t>
        </is>
      </c>
    </row>
    <row r="53">
      <c r="A53" s="14" t="inlineStr">
        <is>
          <t>Rendement net avant crédit</t>
        </is>
      </c>
      <c r="B53" s="25">
        <f>IFERROR(B46/B35,"")</f>
        <v/>
      </c>
      <c r="C53" s="18" t="inlineStr">
        <is>
          <t>après taxe foncière, entretien et assurance</t>
        </is>
      </c>
    </row>
    <row r="54">
      <c r="A54" s="14" t="inlineStr">
        <is>
          <t>DSCR — couverture de la dette</t>
        </is>
      </c>
      <c r="B54" s="26">
        <f>IFERROR(B46/B39,"")</f>
        <v/>
      </c>
      <c r="C54" s="18" t="inlineStr">
        <is>
          <t>revenu net ÷ crédit : ≥ 1,20 rassure une banque</t>
        </is>
      </c>
    </row>
    <row r="55">
      <c r="A55" s="14" t="inlineStr">
        <is>
          <t>LTV — part financée par la banque</t>
        </is>
      </c>
      <c r="B55" s="25">
        <f>IFERROR(B37/B25,"")</f>
        <v/>
      </c>
      <c r="C55" s="18" t="inlineStr">
        <is>
          <t>≤ 80 % est la zone de confort bancaire</t>
        </is>
      </c>
    </row>
    <row r="56">
      <c r="A56" s="14" t="inlineStr">
        <is>
          <t>Effort d'épargne mensuel si négatif</t>
        </is>
      </c>
      <c r="B56" s="23">
        <f>MAX(0,-B48/12)</f>
        <v/>
      </c>
    </row>
    <row r="57">
      <c r="A57" s="14" t="inlineStr">
        <is>
          <t>Score de l'outil de veille</t>
        </is>
      </c>
      <c r="B57" s="15" t="inlineStr">
        <is>
          <t>60/100</t>
        </is>
      </c>
      <c r="C57" s="18"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MURS COMMERCIAUX OCCUPÉS – NOISY-LE-SEC CENTRE-VILLE / GARE</t>
        </is>
      </c>
    </row>
    <row r="2">
      <c r="A2" s="28" t="inlineStr">
        <is>
          <t>Lien</t>
        </is>
      </c>
      <c r="B2" s="30" t="inlineStr">
        <is>
          <t>https://www.bureauxlocaux.com/annonce/murs-commerciaux-occupes-noisy-le-sec-centre-ville--43025256</t>
        </is>
      </c>
    </row>
    <row r="3">
      <c r="A3" s="28" t="inlineStr">
        <is>
          <t>Ville</t>
        </is>
      </c>
      <c r="B3" s="29" t="inlineStr">
        <is>
          <t>NOISY LE SEC (93130)</t>
        </is>
      </c>
    </row>
    <row r="4">
      <c r="A4" s="28" t="inlineStr">
        <is>
          <t>Source</t>
        </is>
      </c>
      <c r="B4" s="29" t="inlineStr">
        <is>
          <t>bureauxlocaux</t>
        </is>
      </c>
    </row>
    <row r="5">
      <c r="A5" s="28" t="inlineStr">
        <is>
          <t>Première détection</t>
        </is>
      </c>
      <c r="B5" s="29" t="inlineStr">
        <is>
          <t>2026-10-29</t>
        </is>
      </c>
    </row>
    <row r="6">
      <c r="A6" s="28" t="inlineStr">
        <is>
          <t>Type</t>
        </is>
      </c>
      <c r="B6" s="29" t="inlineStr">
        <is>
          <t>Murs occupés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30 ventes réelles 2023-2025 (DVF)</t>
        </is>
      </c>
    </row>
    <row r="10">
      <c r="A10" s="28" t="inlineStr">
        <is>
          <t>Lecture du prix</t>
        </is>
      </c>
      <c r="B10" s="29" t="inlineStr">
        <is>
          <t>Prime explicable : le bail en place à bon rendement justifie une prime.</t>
        </is>
      </c>
    </row>
    <row r="11">
      <c r="A11" s="28" t="inlineStr">
        <is>
          <t>Alertes</t>
        </is>
      </c>
      <c r="B11" s="29" t="inlineStr">
        <is>
          <t>surface_a_ventiler</t>
        </is>
      </c>
    </row>
    <row r="12" ht="110" customHeight="1">
      <c r="A12" s="28" t="inlineStr">
        <is>
          <t>Description</t>
        </is>
      </c>
      <c r="B12" s="29" t="inlineStr">
        <is>
          <t>L’ENSEIGNE PARISIENNE vous présente une opportunité d’investissement : des murs commerciaux occupés par un établissement de restauration, dans le secteur Centre-ville / Gare de Noisy-le-Sec. À proximité de la gare, ce secteur bénéficie d’une accessibilité attractive pour la clientèle. Son environnement résidentiel et commercial constitue un atout pour une activité de restauration de proximité. Le local développe une surface totale de 50 m², répartie comme suit : Rez-de-chaussée : 25 m² Sous-sol : 25 m², comprenant une cuisine et une réserve. Données financières : Loyer mensuel : 1 950 € HT HC, soit 23 400 € par an Charges mensuelles : environ 70 € Un investissement permettant de percevoir des loyers avec un locataire déjà en place. Contactez-nous pour obtenir plus d’informations et organiser une visite.</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2026-10-30T19:17:28Z</dcterms:created>
  <dcterms:modified xsi:type="dcterms:W3CDTF">2026-10-30T19:17:28Z</dcterms:modified>
</cp:coreProperties>
</file>