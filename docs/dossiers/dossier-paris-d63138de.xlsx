
<file path=[Content_Types].xml><?xml version="1.0" encoding="utf-8"?>
<Types xmlns="http://schemas.openxmlformats.org/package/2006/content-types">
  <Default Extension="rels" ContentType="application/vnd.openxmlformats-package.relationships+xml"/>
  <Default Extension="xml" ContentType="application/xml"/>
  <Override PartName="/xl/styles.xml" ContentType="application/vnd.openxmlformats-officedocument.spreadsheetml.styles+xml"/>
  <Override PartName="/xl/theme/theme1.xml" ContentType="application/vnd.openxmlformats-officedocument.theme+xml"/>
  <Override PartName="/docProps/core.xml" ContentType="application/vnd.openxmlformats-package.core-properties+xml"/>
  <Override PartName="/docProps/app.xml" ContentType="application/vnd.openxmlformats-officedocument.extended-properties+xml"/>
  <Override PartName="/xl/worksheets/sheet1.xml" ContentType="application/vnd.openxmlformats-officedocument.spreadsheetml.worksheet+xml"/>
  <Override PartName="/xl/drawings/drawing1.xml" ContentType="application/vnd.openxmlformats-officedocument.drawing+xml"/>
  <Override PartName="/xl/worksheets/sheet2.xml" ContentType="application/vnd.openxmlformats-officedocument.spreadsheetml.worksheet+xml"/>
  <Override PartName="/xl/drawings/drawing2.xml" ContentType="application/vnd.openxmlformats-officedocument.drawing+xml"/>
  <Override PartName="/xl/worksheets/sheet3.xml" ContentType="application/vnd.openxmlformats-officedocument.spreadsheetml.worksheet+xml"/>
  <Override PartName="/xl/charts/chart1.xml" ContentType="application/vnd.openxmlformats-officedocument.drawingml.chart+xml"/>
  <Override PartName="/xl/charts/chart2.xml" ContentType="application/vnd.openxmlformats-officedocument.drawingml.chart+xml"/>
  <Override PartName="/xl/workbook.xml" ContentType="application/vnd.openxmlformats-officedocument.spreadsheetml.sheet.main+xml"/>
</Types>
</file>

<file path=_rels/.rels><Relationships xmlns="http://schemas.openxmlformats.org/package/2006/relationships"><Relationship Type="http://schemas.openxmlformats.org/officeDocument/2006/relationships/officeDocument" Target="xl/workbook.xml" Id="rId1" /><Relationship Type="http://schemas.openxmlformats.org/package/2006/relationships/metadata/core-properties" Target="docProps/core.xml" Id="rId2" /><Relationship Type="http://schemas.openxmlformats.org/officeDocument/2006/relationships/extended-properties" Target="docProps/app.xml" Id="rId3" /></Relationships>
</file>

<file path=xl/workbook.xml><?xml version="1.0" encoding="utf-8"?>
<workbook xmlns:r="http://schemas.openxmlformats.org/officeDocument/2006/relationships" xmlns="http://schemas.openxmlformats.org/spreadsheetml/2006/main">
  <workbookPr/>
  <workbookProtection/>
  <bookViews>
    <workbookView visibility="visible" minimized="0" showHorizontalScroll="1" showVerticalScroll="1" showSheetTabs="1" tabRatio="600" firstSheet="0" activeTab="0" autoFilterDateGrouping="1"/>
  </bookViews>
  <sheets>
    <sheet name="Synthèse" sheetId="1" state="visible" r:id="rId1"/>
    <sheet name="Amortissement" sheetId="2" state="visible" r:id="rId2"/>
    <sheet name="Annonce" sheetId="3" state="visible" r:id="rId3"/>
  </sheets>
  <definedNames>
    <definedName name="_xlnm.Print_Area" localSheetId="0">'Synthèse'!$A$1:$C$58</definedName>
  </definedNames>
  <calcPr calcId="124519" fullCalcOnLoad="1"/>
</workbook>
</file>

<file path=xl/styles.xml><?xml version="1.0" encoding="utf-8"?>
<styleSheet xmlns="http://schemas.openxmlformats.org/spreadsheetml/2006/main">
  <numFmts count="5">
    <numFmt numFmtId="164" formatCode="#,##0&quot; m²&quot;"/>
    <numFmt numFmtId="165" formatCode="#,##0&quot; €&quot;"/>
    <numFmt numFmtId="166" formatCode="0.0%"/>
    <numFmt numFmtId="167" formatCode="0.0"/>
    <numFmt numFmtId="168" formatCode="#,##0&quot; €/mois&quot;"/>
  </numFmts>
  <fonts count="13">
    <font>
      <name val="Calibri"/>
      <family val="2"/>
      <color theme="1"/>
      <sz val="11"/>
      <scheme val="minor"/>
    </font>
    <font>
      <name val="Calibri"/>
      <b val="1"/>
      <color rgb="00FFFFFF"/>
      <sz val="17"/>
    </font>
    <font>
      <b val="1"/>
      <sz val="13"/>
    </font>
    <font>
      <name val="Calibri"/>
      <color rgb="00404040"/>
      <sz val="11"/>
    </font>
    <font>
      <color rgb="000563C1"/>
      <sz val="10"/>
      <u val="single"/>
    </font>
    <font>
      <name val="Calibri"/>
      <i val="1"/>
      <color rgb="00808080"/>
      <sz val="9"/>
    </font>
    <font>
      <name val="Calibri"/>
      <b val="1"/>
      <color rgb="00FFFFFF"/>
      <sz val="11"/>
    </font>
    <font>
      <name val="Calibri"/>
      <b val="1"/>
      <sz val="11"/>
    </font>
    <font>
      <name val="Calibri"/>
      <b val="1"/>
      <color rgb="001D5240"/>
      <sz val="11"/>
    </font>
    <font>
      <name val="Calibri"/>
      <b val="1"/>
      <sz val="14"/>
    </font>
    <font>
      <i val="1"/>
      <sz val="10.5"/>
    </font>
    <font>
      <b val="1"/>
    </font>
    <font>
      <color rgb="000563C1"/>
      <u val="single"/>
    </font>
  </fonts>
  <fills count="5">
    <fill>
      <patternFill/>
    </fill>
    <fill>
      <patternFill patternType="gray125"/>
    </fill>
    <fill>
      <patternFill patternType="solid">
        <fgColor rgb="001D5240"/>
      </patternFill>
    </fill>
    <fill>
      <patternFill patternType="solid">
        <fgColor rgb="00D6A532"/>
      </patternFill>
    </fill>
    <fill>
      <patternFill patternType="solid">
        <fgColor rgb="00FFF2CC"/>
      </patternFill>
    </fill>
  </fills>
  <borders count="2">
    <border>
      <left/>
      <right/>
      <top/>
      <bottom/>
      <diagonal/>
    </border>
    <border>
      <bottom style="hair">
        <color rgb="00D9D9D9"/>
      </bottom>
    </border>
  </borders>
  <cellStyleXfs count="1">
    <xf numFmtId="0" fontId="0" fillId="0" borderId="0"/>
  </cellStyleXfs>
  <cellXfs count="31">
    <xf numFmtId="0" fontId="0" fillId="0" borderId="0" pivotButton="0" quotePrefix="0" xfId="0"/>
    <xf numFmtId="0" fontId="1" fillId="2" borderId="0" applyAlignment="1" pivotButton="0" quotePrefix="0" xfId="0">
      <alignment vertical="center" indent="1"/>
    </xf>
    <xf numFmtId="0" fontId="0" fillId="3" borderId="0" pivotButton="0" quotePrefix="0" xfId="0"/>
    <xf numFmtId="0" fontId="2" fillId="0" borderId="0" pivotButton="0" quotePrefix="0" xfId="0"/>
    <xf numFmtId="0" fontId="3" fillId="0" borderId="0" pivotButton="0" quotePrefix="0" xfId="0"/>
    <xf numFmtId="0" fontId="4" fillId="0" borderId="0" pivotButton="0" quotePrefix="0" xfId="0"/>
    <xf numFmtId="0" fontId="5" fillId="0" borderId="0" pivotButton="0" quotePrefix="0" xfId="0"/>
    <xf numFmtId="0" fontId="6" fillId="2" borderId="0" applyAlignment="1" pivotButton="0" quotePrefix="0" xfId="0">
      <alignment vertical="center" indent="1"/>
    </xf>
    <xf numFmtId="165" fontId="0" fillId="0" borderId="0" pivotButton="0" quotePrefix="0" xfId="0"/>
    <xf numFmtId="0" fontId="8" fillId="0" borderId="1" pivotButton="0" quotePrefix="0" xfId="0"/>
    <xf numFmtId="165" fontId="9" fillId="0" borderId="1" pivotButton="0" quotePrefix="0" xfId="0"/>
    <xf numFmtId="168" fontId="9" fillId="0" borderId="1" pivotButton="0" quotePrefix="0" xfId="0"/>
    <xf numFmtId="2" fontId="9" fillId="0" borderId="1" pivotButton="0" quotePrefix="0" xfId="0"/>
    <xf numFmtId="0" fontId="10" fillId="0" borderId="0" applyAlignment="1" pivotButton="0" quotePrefix="0" xfId="0">
      <alignment vertical="top" wrapText="1"/>
    </xf>
    <xf numFmtId="0" fontId="3" fillId="0" borderId="1" pivotButton="0" quotePrefix="0" xfId="0"/>
    <xf numFmtId="0" fontId="7" fillId="0" borderId="1" pivotButton="0" quotePrefix="0" xfId="0"/>
    <xf numFmtId="164" fontId="7" fillId="0" borderId="1" pivotButton="0" quotePrefix="0" xfId="0"/>
    <xf numFmtId="165" fontId="7" fillId="0" borderId="1" pivotButton="0" quotePrefix="0" xfId="0"/>
    <xf numFmtId="165" fontId="7" fillId="4" borderId="1" pivotButton="0" quotePrefix="0" xfId="0"/>
    <xf numFmtId="0" fontId="5" fillId="0" borderId="0" applyAlignment="1" pivotButton="0" quotePrefix="0" xfId="0">
      <alignment vertical="center" wrapText="1"/>
    </xf>
    <xf numFmtId="166" fontId="7" fillId="4" borderId="1" pivotButton="0" quotePrefix="0" xfId="0"/>
    <xf numFmtId="1" fontId="7" fillId="4" borderId="1" pivotButton="0" quotePrefix="0" xfId="0"/>
    <xf numFmtId="167" fontId="7" fillId="4" borderId="1" pivotButton="0" quotePrefix="0" xfId="0"/>
    <xf numFmtId="168" fontId="7" fillId="0" borderId="1" pivotButton="0" quotePrefix="0" xfId="0"/>
    <xf numFmtId="168" fontId="2" fillId="0" borderId="1" pivotButton="0" quotePrefix="0" xfId="0"/>
    <xf numFmtId="166" fontId="7" fillId="0" borderId="1" pivotButton="0" quotePrefix="0" xfId="0"/>
    <xf numFmtId="2" fontId="7" fillId="0" borderId="1" pivotButton="0" quotePrefix="0" xfId="0"/>
    <xf numFmtId="0" fontId="6" fillId="2" borderId="0" applyAlignment="1" pivotButton="0" quotePrefix="0" xfId="0">
      <alignment vertical="center" wrapText="1"/>
    </xf>
    <xf numFmtId="0" fontId="11" fillId="0" borderId="0" pivotButton="0" quotePrefix="0" xfId="0"/>
    <xf numFmtId="0" fontId="0" fillId="0" borderId="0" applyAlignment="1" pivotButton="0" quotePrefix="0" xfId="0">
      <alignment vertical="top" wrapText="1"/>
    </xf>
    <xf numFmtId="0" fontId="12" fillId="0" borderId="0" applyAlignment="1" pivotButton="0" quotePrefix="0" xfId="0">
      <alignment vertical="top" wrapText="1"/>
    </xf>
  </cellXfs>
  <cellStyles count="1">
    <cellStyle name="Normal" xfId="0" builtinId="0" hidden="0"/>
  </cellStyles>
  <dxfs count="2">
    <dxf>
      <fill>
        <patternFill patternType="solid">
          <fgColor rgb="00E2EFDA"/>
        </patternFill>
      </fill>
    </dxf>
    <dxf>
      <fill>
        <patternFill patternType="solid">
          <fgColor rgb="00FCE4EC"/>
        </patternFill>
      </fill>
    </dxf>
  </dxfs>
  <tableStyles count="0" defaultTableStyle="TableStyleMedium9" defaultPivotStyle="PivotStyleLight16"/>
  <colors>
    <indexedColors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800000"/>
      <rgbColor rgb="00008000"/>
      <rgbColor rgb="00000080"/>
      <rgbColor rgb="00808000"/>
      <rgbColor rgb="00800080"/>
      <rgbColor rgb="00008080"/>
      <rgbColor rgb="00C0C0C0"/>
      <rgbColor rgb="00808080"/>
      <rgbColor rgb="009999FF"/>
      <rgbColor rgb="00993366"/>
      <rgbColor rgb="00FFFFCC"/>
      <rgbColor rgb="00CCFFFF"/>
      <rgbColor rgb="00660066"/>
      <rgbColor rgb="00FF8080"/>
      <rgbColor rgb="000066CC"/>
      <rgbColor rgb="00CCCCFF"/>
      <rgbColor rgb="00000080"/>
      <rgbColor rgb="00FF00FF"/>
      <rgbColor rgb="00FFFF00"/>
      <rgbColor rgb="0000FFFF"/>
      <rgbColor rgb="00800080"/>
      <rgbColor rgb="00800000"/>
      <rgbColor rgb="00008080"/>
      <rgbColor rgb="000000FF"/>
      <rgbColor rgb="0000CCFF"/>
      <rgbColor rgb="00CCFFFF"/>
      <rgbColor rgb="00CCFFCC"/>
      <rgbColor rgb="00FFFF99"/>
      <rgbColor rgb="0099CCFF"/>
      <rgbColor rgb="00FF99CC"/>
      <rgbColor rgb="00CC99FF"/>
      <rgbColor rgb="00FFCC99"/>
      <rgbColor rgb="003366FF"/>
      <rgbColor rgb="0033CCCC"/>
      <rgbColor rgb="0099CC00"/>
      <rgbColor rgb="00FFCC00"/>
      <rgbColor rgb="00FF9900"/>
      <rgbColor rgb="00FF6600"/>
      <rgbColor rgb="00666699"/>
      <rgbColor rgb="00969696"/>
      <rgbColor rgb="00003366"/>
      <rgbColor rgb="00339966"/>
      <rgbColor rgb="00003300"/>
      <rgbColor rgb="00333300"/>
      <rgbColor rgb="00993300"/>
      <rgbColor rgb="00993366"/>
      <rgbColor rgb="00333399"/>
      <rgbColor rgb="00333333"/>
    </indexedColors>
  </colors>
</styleSheet>
</file>

<file path=xl/_rels/workbook.xml.rels><Relationships xmlns="http://schemas.openxmlformats.org/package/2006/relationships"><Relationship Type="http://schemas.openxmlformats.org/officeDocument/2006/relationships/worksheet" Target="/xl/worksheets/sheet1.xml" Id="rId1" /><Relationship Type="http://schemas.openxmlformats.org/officeDocument/2006/relationships/worksheet" Target="/xl/worksheets/sheet2.xml" Id="rId2" /><Relationship Type="http://schemas.openxmlformats.org/officeDocument/2006/relationships/worksheet" Target="/xl/worksheets/sheet3.xml" Id="rId3" /><Relationship Type="http://schemas.openxmlformats.org/officeDocument/2006/relationships/styles" Target="styles.xml" Id="rId4" /><Relationship Type="http://schemas.openxmlformats.org/officeDocument/2006/relationships/theme" Target="theme/theme1.xml" Id="rId5" /></Relationships>
</file>

<file path=xl/charts/chart1.xml><?xml version="1.0" encoding="utf-8"?>
<chartSpace xmlns:a="http://schemas.openxmlformats.org/drawingml/2006/main" xmlns="http://schemas.openxmlformats.org/drawingml/2006/chart">
  <chart>
    <title>
      <tx>
        <rich>
          <a:bodyPr/>
          <a:p>
            <a:pPr>
              <a:defRPr/>
            </a:pPr>
            <a:r>
              <a:t>Le loyer paie-t-il le crédit ?</a:t>
            </a:r>
          </a:p>
        </rich>
      </tx>
    </title>
    <plotArea>
      <barChart>
        <barDir val="col"/>
        <grouping val="clustered"/>
        <ser>
          <idx val="0"/>
          <order val="0"/>
          <spPr>
            <a:solidFill>
              <a:srgbClr val="1D5240"/>
            </a:solidFill>
            <a:ln>
              <a:prstDash val="solid"/>
            </a:ln>
          </spPr>
          <cat>
            <numRef>
              <f>'Synthèse'!$E$7:$E$9</f>
            </numRef>
          </cat>
          <val>
            <numRef>
              <f>'Synthèse'!$F$7:$F$9</f>
            </numRef>
          </val>
        </ser>
        <gapWidth val="150"/>
        <axId val="10"/>
        <axId val="100"/>
      </barChart>
      <catAx>
        <axId val="10"/>
        <scaling>
          <orientation val="minMax"/>
        </scaling>
        <axPos val="l"/>
        <majorTickMark val="none"/>
        <minorTickMark val="none"/>
        <crossAx val="100"/>
        <lblOffset val="100"/>
      </catAx>
      <valAx>
        <axId val="100"/>
        <scaling>
          <orientation val="minMax"/>
        </scaling>
        <axPos val="l"/>
        <majorGridlines/>
        <numFmt formatCode="#,##0&quot; €&quot;" sourceLinked="0"/>
        <majorTickMark val="none"/>
        <minorTickMark val="none"/>
        <crossAx val="10"/>
      </valAx>
    </plotArea>
    <plotVisOnly val="1"/>
    <dispBlanksAs val="gap"/>
  </chart>
</chartSpace>
</file>

<file path=xl/charts/chart2.xml><?xml version="1.0" encoding="utf-8"?>
<chartSpace xmlns:a="http://schemas.openxmlformats.org/drawingml/2006/main" xmlns="http://schemas.openxmlformats.org/drawingml/2006/chart">
  <chart>
    <title>
      <tx>
        <rich>
          <a:bodyPr/>
          <a:p>
            <a:pPr>
              <a:defRPr/>
            </a:pPr>
            <a:r>
              <a:t>Capital restant dû</a:t>
            </a:r>
          </a:p>
        </rich>
      </tx>
    </title>
    <plotArea>
      <lineChart>
        <grouping val="standard"/>
        <ser>
          <idx val="0"/>
          <order val="0"/>
          <spPr>
            <a:ln w="22000">
              <a:solidFill>
                <a:srgbClr val="1D5240"/>
              </a:solidFill>
              <a:prstDash val="solid"/>
            </a:ln>
          </spPr>
          <marker>
            <symbol val="none"/>
            <spPr>
              <a:ln>
                <a:prstDash val="solid"/>
              </a:ln>
            </spPr>
          </marker>
          <cat>
            <numRef>
              <f>'Amortissement'!$A$2:$A$31</f>
            </numRef>
          </cat>
          <val>
            <numRef>
              <f>'Amortissement'!$E$2:$E$31</f>
            </numRef>
          </val>
        </ser>
        <axId val="10"/>
        <axId val="100"/>
      </lineChart>
      <catAx>
        <axId val="10"/>
        <scaling>
          <orientation val="minMax"/>
        </scaling>
        <axPos val="l"/>
        <title>
          <tx>
            <rich>
              <a:bodyPr/>
              <a:p>
                <a:pPr>
                  <a:defRPr/>
                </a:pPr>
                <a:r>
                  <a:t>Année</a:t>
                </a:r>
              </a:p>
            </rich>
          </tx>
        </title>
        <majorTickMark val="none"/>
        <minorTickMark val="none"/>
        <crossAx val="100"/>
        <lblOffset val="100"/>
      </catAx>
      <valAx>
        <axId val="100"/>
        <scaling>
          <orientation val="minMax"/>
        </scaling>
        <axPos val="l"/>
        <majorGridlines/>
        <numFmt formatCode="#,##0&quot; €&quot;" sourceLinked="0"/>
        <majorTickMark val="none"/>
        <minorTickMark val="none"/>
        <crossAx val="10"/>
      </valAx>
    </plotArea>
    <plotVisOnly val="1"/>
    <dispBlanksAs val="gap"/>
  </chart>
</chartSpace>
</file>

<file path=xl/drawings/_rels/drawing1.xml.rels><Relationships xmlns="http://schemas.openxmlformats.org/package/2006/relationships"><Relationship Type="http://schemas.openxmlformats.org/officeDocument/2006/relationships/chart" Target="/xl/charts/chart1.xml" Id="rId1" /></Relationships>
</file>

<file path=xl/drawings/_rels/drawing2.xml.rels><Relationships xmlns="http://schemas.openxmlformats.org/package/2006/relationships"><Relationship Type="http://schemas.openxmlformats.org/officeDocument/2006/relationships/chart" Target="/xl/charts/chart2.xml" Id="rId1" /></Relationships>
</file>

<file path=xl/drawings/drawing1.xml><?xml version="1.0" encoding="utf-8"?>
<wsDr xmlns:a="http://schemas.openxmlformats.org/drawingml/2006/main" xmlns:c="http://schemas.openxmlformats.org/drawingml/2006/chart" xmlns:r="http://schemas.openxmlformats.org/officeDocument/2006/relationships" xmlns="http://schemas.openxmlformats.org/drawingml/2006/spreadsheetDrawing">
  <oneCellAnchor>
    <from>
      <col>4</col>
      <colOff>0</colOff>
      <row>10</row>
      <rowOff>0</rowOff>
    </from>
    <ext cx="4320000" cy="2880000"/>
    <graphicFrame>
      <nvGraphicFramePr>
        <cNvPr id="1" name="Chart 1"/>
        <cNvGraphicFramePr/>
      </nvGraphicFramePr>
      <xfrm/>
      <a:graphic>
        <a:graphicData uri="http://schemas.openxmlformats.org/drawingml/2006/chart">
          <c:chart r:id="rId1"/>
        </a:graphicData>
      </a:graphic>
    </graphicFrame>
    <clientData/>
  </oneCellAnchor>
</wsDr>
</file>

<file path=xl/drawings/drawing2.xml><?xml version="1.0" encoding="utf-8"?>
<wsDr xmlns:a="http://schemas.openxmlformats.org/drawingml/2006/main" xmlns:c="http://schemas.openxmlformats.org/drawingml/2006/chart" xmlns:r="http://schemas.openxmlformats.org/officeDocument/2006/relationships" xmlns="http://schemas.openxmlformats.org/drawingml/2006/spreadsheetDrawing">
  <oneCellAnchor>
    <from>
      <col>8</col>
      <colOff>0</colOff>
      <row>1</row>
      <rowOff>0</rowOff>
    </from>
    <ext cx="5760000" cy="3240000"/>
    <graphicFrame>
      <nvGraphicFramePr>
        <cNvPr id="1" name="Chart 1"/>
        <cNvGraphicFramePr/>
      </nvGraphicFramePr>
      <xfrm/>
      <a:graphic>
        <a:graphicData uri="http://schemas.openxmlformats.org/drawingml/2006/chart">
          <c:chart r:id="rId1"/>
        </a:graphicData>
      </a:graphic>
    </graphicFrame>
    <clientData/>
  </oneCellAnchor>
</wsDr>
</file>

<file path=xl/theme/theme1.xml><?xml version="1.0" encoding="utf-8"?>
<a:theme xmlns:a="http://schemas.openxmlformats.org/drawingml/2006/main" name="Office Theme">
  <a:themeElements>
    <a:clrScheme name="Office">
      <a:dk1>
        <a:sysClr val="windowText" lastClr="000000"/>
      </a:dk1>
      <a:lt1>
        <a:sysClr val="window" lastClr="FFFFFF"/>
      </a:lt1>
      <a:dk2>
        <a:srgbClr val="1F497D"/>
      </a:dk2>
      <a:lt2>
        <a:srgbClr val="EEECE1"/>
      </a:lt2>
      <a:accent1>
        <a:srgbClr val="4F81BD"/>
      </a:accent1>
      <a:accent2>
        <a:srgbClr val="C0504D"/>
      </a:accent2>
      <a:accent3>
        <a:srgbClr val="9BBB59"/>
      </a:accent3>
      <a:accent4>
        <a:srgbClr val="8064A2"/>
      </a:accent4>
      <a:accent5>
        <a:srgbClr val="4BACC6"/>
      </a:accent5>
      <a:accent6>
        <a:srgbClr val="F79646"/>
      </a:accent6>
      <a:hlink>
        <a:srgbClr val="0000FF"/>
      </a:hlink>
      <a:folHlink>
        <a:srgbClr val="800080"/>
      </a:folHlink>
    </a:clrScheme>
    <a:fontScheme name="Office">
      <a:majorFont>
        <a:latin typeface="Cambria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</a:majorFont>
      <a:minorFont>
        <a:latin typeface="Calibri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tint val="50000"/>
                <a:satMod val="300000"/>
              </a:schemeClr>
            </a:gs>
            <a:gs pos="35000">
              <a:schemeClr val="phClr">
                <a:tint val="37000"/>
                <a:satMod val="300000"/>
              </a:schemeClr>
            </a:gs>
            <a:gs pos="100000">
              <a:schemeClr val="phClr">
                <a:tint val="15000"/>
                <a:satMod val="350000"/>
              </a:schemeClr>
            </a:gs>
          </a:gsLst>
          <a:lin ang="16200000" scaled="1"/>
        </a:gradFill>
        <a:gradFill rotWithShape="1">
          <a:gsLst>
            <a:gs pos="0">
              <a:schemeClr val="phClr">
                <a:shade val="51000"/>
                <a:satMod val="130000"/>
              </a:schemeClr>
            </a:gs>
            <a:gs pos="80000">
              <a:schemeClr val="phClr">
                <a:shade val="93000"/>
                <a:satMod val="130000"/>
              </a:schemeClr>
            </a:gs>
            <a:gs pos="100000">
              <a:schemeClr val="phClr">
                <a:shade val="94000"/>
                <a:satMod val="135000"/>
              </a:schemeClr>
            </a:gs>
          </a:gsLst>
          <a:lin ang="16200000" scaled="0"/>
        </a:gradFill>
      </a:fillStyleLst>
      <a:lnStyleLst>
        <a:ln w="9525" cap="flat" cmpd="sng" algn="ctr">
          <a:solidFill>
            <a:schemeClr val="phClr">
              <a:shade val="95000"/>
              <a:satMod val="105000"/>
            </a:schemeClr>
          </a:solidFill>
          <a:prstDash val="solid"/>
        </a:ln>
        <a:ln w="25400" cap="flat" cmpd="sng" algn="ctr">
          <a:solidFill>
            <a:schemeClr val="phClr"/>
          </a:solidFill>
          <a:prstDash val="solid"/>
        </a:ln>
        <a:ln w="38100" cap="flat" cmpd="sng" algn="ctr">
          <a:solidFill>
            <a:schemeClr val="phClr"/>
          </a:solidFill>
          <a:prstDash val="solid"/>
        </a:ln>
      </a:lnStyleLst>
      <a:effectStyleLst>
        <a:effectStyle>
          <a:effectLst>
            <a:outerShdw blurRad="40000" dist="20000" dir="5400000" rotWithShape="0">
              <a:srgbClr val="000000">
                <a:alpha val="38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  <a:scene3d>
            <a:camera prst="orthographicFront">
              <a:rot lat="0" lon="0" rev="0"/>
            </a:camera>
            <a:lightRig rig="threePt" dir="t">
              <a:rot lat="0" lon="0" rev="1200000"/>
            </a:lightRig>
          </a:scene3d>
          <a:sp3d>
            <a:bevelT w="63500" h="25400"/>
          </a:sp3d>
        </a:effectStyle>
      </a:effectStyleLst>
      <a:bgFillStyleLst>
        <a:solidFill>
          <a:schemeClr val="phClr"/>
        </a:solidFill>
        <a:gradFill rotWithShape="1">
          <a:gsLst>
            <a:gs pos="0">
              <a:schemeClr val="phClr">
                <a:tint val="40000"/>
                <a:satMod val="350000"/>
              </a:schemeClr>
            </a:gs>
            <a:gs pos="40000">
              <a:schemeClr val="phClr">
                <a:tint val="45000"/>
                <a:shade val="99000"/>
                <a:satMod val="350000"/>
              </a:schemeClr>
            </a:gs>
            <a:gs pos="100000">
              <a:schemeClr val="phClr">
                <a:shade val="20000"/>
                <a:satMod val="255000"/>
              </a:schemeClr>
            </a:gs>
          </a:gsLst>
          <a:path path="circle">
            <a:fillToRect l="50000" t="-80000" r="50000" b="180000"/>
          </a:path>
        </a:gradFill>
        <a:gradFill rotWithShape="1">
          <a:gsLst>
            <a:gs pos="0">
              <a:schemeClr val="phClr">
                <a:tint val="80000"/>
                <a:satMod val="300000"/>
              </a:schemeClr>
            </a:gs>
            <a:gs pos="100000">
              <a:schemeClr val="phClr">
                <a:shade val="30000"/>
                <a:satMod val="200000"/>
              </a:schemeClr>
            </a:gs>
          </a:gsLst>
          <a:path path="circle">
            <a:fillToRect l="50000" t="50000" r="50000" b="50000"/>
          </a:path>
        </a:gradFill>
      </a:bgFillStyleLst>
    </a:fmtScheme>
  </a:themeElements>
  <a:objectDefaults/>
  <a:extraClrSchemeLst/>
</a:theme>
</file>

<file path=xl/worksheets/_rels/sheet1.xml.rels><Relationships xmlns="http://schemas.openxmlformats.org/package/2006/relationships"><Relationship Type="http://schemas.openxmlformats.org/officeDocument/2006/relationships/hyperlink" Target="https://www.bureauxlocaux.com/annonce/murs-commerciaux-a-vendre-paris-15-emplacement-rec--42325980" TargetMode="External" Id="rId1" /><Relationship Type="http://schemas.openxmlformats.org/officeDocument/2006/relationships/drawing" Target="/xl/drawings/drawing1.xml" Id="rId2" /></Relationships>
</file>

<file path=xl/worksheets/_rels/sheet2.xml.rels><Relationships xmlns="http://schemas.openxmlformats.org/package/2006/relationships"><Relationship Type="http://schemas.openxmlformats.org/officeDocument/2006/relationships/drawing" Target="/xl/drawings/drawing2.xml" Id="rId1" /></Relationships>
</file>

<file path=xl/worksheets/_rels/sheet3.xml.rels><Relationships xmlns="http://schemas.openxmlformats.org/package/2006/relationships"><Relationship Type="http://schemas.openxmlformats.org/officeDocument/2006/relationships/hyperlink" Target="https://www.bureauxlocaux.com/annonce/murs-commerciaux-a-vendre-paris-15-emplacement-rec--42325980" TargetMode="External" Id="rId1" /></Relationships>
</file>

<file path=xl/worksheets/sheet1.xml><?xml version="1.0" encoding="utf-8"?>
<worksheet xmlns="http://schemas.openxmlformats.org/spreadsheetml/2006/main">
  <sheetPr>
    <outlinePr summaryBelow="1" summaryRight="1"/>
    <pageSetUpPr fitToPage="1"/>
  </sheetPr>
  <dimension ref="A1:F57"/>
  <sheetViews>
    <sheetView showGridLines="0" workbookViewId="0">
      <selection activeCell="A1" sqref="A1"/>
    </sheetView>
  </sheetViews>
  <sheetFormatPr baseColWidth="8" defaultRowHeight="15"/>
  <cols>
    <col width="38" customWidth="1" min="1" max="1"/>
    <col width="17" customWidth="1" min="2" max="2"/>
    <col width="46" customWidth="1" min="3" max="3"/>
  </cols>
  <sheetData>
    <row r="1" ht="34" customHeight="1">
      <c r="A1" s="1" t="inlineStr">
        <is>
          <t>Les Murs.   Dossier de financement — murs commerciaux</t>
        </is>
      </c>
    </row>
    <row r="2" ht="3" customHeight="1">
      <c r="A2" s="2" t="n"/>
    </row>
    <row r="3">
      <c r="A3" s="3" t="inlineStr">
        <is>
          <t>Murs commerciaux à vendre – Paris 15? – Emplacement recherché</t>
        </is>
      </c>
    </row>
    <row r="4">
      <c r="A4" s="4" t="inlineStr">
        <is>
          <t>PARIS (75015) — annonce bureauxlocaux du 2026-09-24</t>
        </is>
      </c>
      <c r="C4" s="5" t="inlineStr">
        <is>
          <t>Voir l'annonce en ligne ↗</t>
        </is>
      </c>
    </row>
    <row r="5">
      <c r="A5" s="6" t="inlineStr">
        <is>
          <t>Dossier généré le 26/10/2026 — indicatif, l'offre de prêt de la banque fait foi.</t>
        </is>
      </c>
    </row>
    <row r="7" ht="18" customHeight="1">
      <c r="A7" s="7" t="inlineStr">
        <is>
          <t>L'ESSENTIEL — ce que votre conseiller lit en premier</t>
        </is>
      </c>
      <c r="E7" s="6" t="inlineStr">
        <is>
          <t>Loyer mensuel</t>
        </is>
      </c>
      <c r="F7" s="8">
        <f>IFERROR(B20,0)</f>
        <v/>
      </c>
    </row>
    <row r="8">
      <c r="A8" s="9" t="inlineStr">
        <is>
          <t>Prix d'achat retenu</t>
        </is>
      </c>
      <c r="B8" s="10">
        <f>B25</f>
        <v/>
      </c>
      <c r="E8" s="6" t="inlineStr">
        <is>
          <t>Crédit + charges / mois</t>
        </is>
      </c>
      <c r="F8" s="8">
        <f>B38-(B43+B44+B45)/12</f>
        <v/>
      </c>
    </row>
    <row r="9">
      <c r="A9" s="9" t="inlineStr">
        <is>
          <t>Apport nécessaire</t>
        </is>
      </c>
      <c r="B9" s="10">
        <f>B36</f>
        <v/>
      </c>
      <c r="E9" s="6" t="inlineStr">
        <is>
          <t>Cash-flow</t>
        </is>
      </c>
      <c r="F9" s="8">
        <f>B49</f>
        <v/>
      </c>
    </row>
    <row r="10">
      <c r="A10" s="9" t="inlineStr">
        <is>
          <t>Mensualité de crédit estimée</t>
        </is>
      </c>
      <c r="B10" s="11">
        <f>B38</f>
        <v/>
      </c>
    </row>
    <row r="11">
      <c r="A11" s="9" t="inlineStr">
        <is>
          <t>Cash-flow mensuel attendu</t>
        </is>
      </c>
      <c r="B11" s="11">
        <f>B49</f>
        <v/>
      </c>
    </row>
    <row r="12">
      <c r="A12" s="9" t="inlineStr">
        <is>
          <t>DSCR (≥ 1,20 rassure)</t>
        </is>
      </c>
      <c r="B12" s="12">
        <f>B54</f>
        <v/>
      </c>
    </row>
    <row r="13">
      <c r="A13" s="13" t="inlineStr">
        <is>
          <t>EN CLAIR — Sur la base d'un loyer ESTIMÉ (pas de bail signé à ce stade) : aux hypothèses de ce dossier (apport 20 %, crédit 5,34 % sur 20 ans, charges provisionnées), il reste environ 106 €/mois à financer en plus du loyer — marge de négociation ou apport supplémentaire à prévoir.</t>
        </is>
      </c>
    </row>
    <row r="14"/>
    <row r="15" ht="18" customHeight="1">
      <c r="A15" s="7" t="inlineStr">
        <is>
          <t>LE BIEN</t>
        </is>
      </c>
    </row>
    <row r="16">
      <c r="A16" s="14" t="inlineStr">
        <is>
          <t>État locatif</t>
        </is>
      </c>
      <c r="B16" s="15" t="inlineStr">
        <is>
          <t>Murs libres — local à louer après l'achat</t>
        </is>
      </c>
    </row>
    <row r="17">
      <c r="A17" s="14" t="inlineStr">
        <is>
          <t>Surface</t>
        </is>
      </c>
      <c r="B17" s="16" t="n">
        <v>78</v>
      </c>
    </row>
    <row r="18">
      <c r="A18" s="14" t="inlineStr">
        <is>
          <t>Prix affiché</t>
        </is>
      </c>
      <c r="B18" s="17" t="n">
        <v>350000</v>
      </c>
    </row>
    <row r="19">
      <c r="A19" s="14" t="inlineStr">
        <is>
          <t>Prix au m²</t>
        </is>
      </c>
      <c r="B19" s="17">
        <f>IFERROR(B18/B17,"")</f>
        <v/>
      </c>
    </row>
    <row r="20">
      <c r="A20" s="14" t="inlineStr">
        <is>
          <t>Loyer mensuel HT</t>
        </is>
      </c>
      <c r="B20" s="18" t="n">
        <v>2275</v>
      </c>
      <c r="C20" s="19" t="inlineStr">
        <is>
          <t>ESTIMATION au loyer de marché local — aucun bail ne le garantit</t>
        </is>
      </c>
    </row>
    <row r="21">
      <c r="A21" s="14" t="inlineStr">
        <is>
          <t>Marché local (prix/m²)</t>
        </is>
      </c>
      <c r="B21" s="15" t="inlineStr">
        <is>
          <t>4 500 à 9 250 €/m²</t>
        </is>
      </c>
      <c r="C21" s="19" t="inlineStr">
        <is>
          <t>ce bien est 34 % SOUS la médiane locale</t>
        </is>
      </c>
    </row>
    <row r="22">
      <c r="A22" s="14" t="inlineStr">
        <is>
          <t>Source de la fourchette</t>
        </is>
      </c>
      <c r="B22" s="15" t="inlineStr">
        <is>
          <t>553 ventes réelles 2023-2025 (DVF)</t>
        </is>
      </c>
      <c r="C22" s="19" t="inlineStr">
        <is>
          <t>DVF = prix réellement payés, enregistrés chez le notaire (data.gouv.fr)</t>
        </is>
      </c>
    </row>
    <row r="24" ht="18" customHeight="1">
      <c r="A24" s="7" t="inlineStr">
        <is>
          <t>HYPOTHÈSES — cellules jaunes à ajuster avec votre conseiller</t>
        </is>
      </c>
    </row>
    <row r="25">
      <c r="A25" s="14" t="inlineStr">
        <is>
          <t>Prix négocié retenu</t>
        </is>
      </c>
      <c r="B25" s="18" t="n">
        <v>350000</v>
      </c>
      <c r="C25" s="19" t="inlineStr">
        <is>
          <t>par défaut le prix affiché — un prix demandé se négocie</t>
        </is>
      </c>
    </row>
    <row r="26">
      <c r="A26" s="14" t="inlineStr">
        <is>
          <t>Frais d'acquisition (notaire, garanties)</t>
        </is>
      </c>
      <c r="B26" s="20" t="n">
        <v>0.08</v>
      </c>
    </row>
    <row r="27">
      <c r="A27" s="14" t="inlineStr">
        <is>
          <t>Apport personnel</t>
        </is>
      </c>
      <c r="B27" s="20" t="n">
        <v>0.2</v>
      </c>
    </row>
    <row r="28">
      <c r="A28" s="14" t="inlineStr">
        <is>
          <t>Taux du crédit (hors assurance)</t>
        </is>
      </c>
      <c r="B28" s="20" t="n">
        <v>0.0534</v>
      </c>
    </row>
    <row r="29">
      <c r="A29" s="14" t="inlineStr">
        <is>
          <t>Durée du crédit (années)</t>
        </is>
      </c>
      <c r="B29" s="21" t="n">
        <v>20</v>
      </c>
    </row>
    <row r="30">
      <c r="A30" s="14" t="inlineStr">
        <is>
          <t>Taxe foncière (en mois de loyer par an)</t>
        </is>
      </c>
      <c r="B30" s="22" t="n">
        <v>1</v>
      </c>
      <c r="C30" s="19" t="inlineStr">
        <is>
          <t>à remplacer par le montant réel dès que connu</t>
        </is>
      </c>
    </row>
    <row r="31">
      <c r="A31" s="14" t="inlineStr">
        <is>
          <t>Provision entretien &amp; vacance (% du loyer)</t>
        </is>
      </c>
      <c r="B31" s="20" t="n">
        <v>0.05</v>
      </c>
    </row>
    <row r="32">
      <c r="A32" s="14" t="inlineStr">
        <is>
          <t>Assurance propriétaire (PNO, €/an)</t>
        </is>
      </c>
      <c r="B32" s="18" t="n">
        <v>300</v>
      </c>
    </row>
    <row r="34" ht="18" customHeight="1">
      <c r="A34" s="7" t="inlineStr">
        <is>
          <t>PLAN DE FINANCEMENT</t>
        </is>
      </c>
    </row>
    <row r="35">
      <c r="A35" s="14" t="inlineStr">
        <is>
          <t>Coût d'acquisition total</t>
        </is>
      </c>
      <c r="B35" s="17">
        <f>B25*(1+B26)</f>
        <v/>
      </c>
      <c r="C35" s="19" t="inlineStr">
        <is>
          <t>prix négocié + frais d'acquisition</t>
        </is>
      </c>
    </row>
    <row r="36">
      <c r="A36" s="14" t="inlineStr">
        <is>
          <t>Apport personnel</t>
        </is>
      </c>
      <c r="B36" s="17">
        <f>B35*B27</f>
        <v/>
      </c>
    </row>
    <row r="37">
      <c r="A37" s="14" t="inlineStr">
        <is>
          <t>Montant emprunté</t>
        </is>
      </c>
      <c r="B37" s="17">
        <f>B35-B36</f>
        <v/>
      </c>
    </row>
    <row r="38">
      <c r="A38" s="14" t="inlineStr">
        <is>
          <t>Mensualité du crédit</t>
        </is>
      </c>
      <c r="B38" s="23">
        <f>IFERROR(-PMT(B28/12,B29*12,B37),0)</f>
        <v/>
      </c>
    </row>
    <row r="39">
      <c r="A39" s="14" t="inlineStr">
        <is>
          <t>Service de la dette (annuel)</t>
        </is>
      </c>
      <c r="B39" s="17">
        <f>B38*12</f>
        <v/>
      </c>
    </row>
    <row r="41" ht="18" customHeight="1">
      <c r="A41" s="7" t="inlineStr">
        <is>
          <t>EXPLOITATION ANNUELLE</t>
        </is>
      </c>
    </row>
    <row r="42">
      <c r="A42" s="14" t="inlineStr">
        <is>
          <t>Loyers annuels HT</t>
        </is>
      </c>
      <c r="B42" s="17">
        <f>IFERROR(B20*12,0)</f>
        <v/>
      </c>
    </row>
    <row r="43">
      <c r="A43" s="14" t="inlineStr">
        <is>
          <t>− Taxe foncière</t>
        </is>
      </c>
      <c r="B43" s="17">
        <f>-IFERROR(B20*B30,0)</f>
        <v/>
      </c>
    </row>
    <row r="44">
      <c r="A44" s="14" t="inlineStr">
        <is>
          <t>− Entretien &amp; vacance locative</t>
        </is>
      </c>
      <c r="B44" s="17">
        <f>-B42*B31</f>
        <v/>
      </c>
    </row>
    <row r="45">
      <c r="A45" s="14" t="inlineStr">
        <is>
          <t>− Assurance PNO</t>
        </is>
      </c>
      <c r="B45" s="17">
        <f>-B32</f>
        <v/>
      </c>
    </row>
    <row r="46">
      <c r="A46" s="14" t="inlineStr">
        <is>
          <t>Revenu net avant crédit</t>
        </is>
      </c>
      <c r="B46" s="17">
        <f>B42+B43+B44+B45</f>
        <v/>
      </c>
    </row>
    <row r="47">
      <c r="A47" s="14" t="inlineStr">
        <is>
          <t>− Remboursement du crédit</t>
        </is>
      </c>
      <c r="B47" s="17">
        <f>-B39</f>
        <v/>
      </c>
    </row>
    <row r="48">
      <c r="A48" s="14" t="inlineStr">
        <is>
          <t>Cash-flow annuel</t>
        </is>
      </c>
      <c r="B48" s="17">
        <f>B46-B39</f>
        <v/>
      </c>
    </row>
    <row r="49">
      <c r="A49" s="14" t="inlineStr">
        <is>
          <t>Cash-flow mensuel</t>
        </is>
      </c>
      <c r="B49" s="24">
        <f>B48/12</f>
        <v/>
      </c>
      <c r="C49" s="19" t="inlineStr">
        <is>
          <t>positif : le bien se paie tout seul, loyer ≥ crédit + charges</t>
        </is>
      </c>
    </row>
    <row r="51" ht="18" customHeight="1">
      <c r="A51" s="7" t="inlineStr">
        <is>
          <t>LES RATIOS QUE REGARDE LE BANQUIER</t>
        </is>
      </c>
    </row>
    <row r="52">
      <c r="A52" s="14" t="inlineStr">
        <is>
          <t>Rendement brut</t>
        </is>
      </c>
      <c r="B52" s="25">
        <f>IFERROR(B42/B25,"")</f>
        <v/>
      </c>
      <c r="C52" s="19" t="inlineStr">
        <is>
          <t>loyer annuel ÷ prix — la base de comparaison des biens</t>
        </is>
      </c>
    </row>
    <row r="53">
      <c r="A53" s="14" t="inlineStr">
        <is>
          <t>Rendement net avant crédit</t>
        </is>
      </c>
      <c r="B53" s="25">
        <f>IFERROR(B46/B35,"")</f>
        <v/>
      </c>
      <c r="C53" s="19" t="inlineStr">
        <is>
          <t>après taxe foncière, entretien et assurance</t>
        </is>
      </c>
    </row>
    <row r="54">
      <c r="A54" s="14" t="inlineStr">
        <is>
          <t>DSCR — couverture de la dette</t>
        </is>
      </c>
      <c r="B54" s="26">
        <f>IFERROR(B46/B39,"")</f>
        <v/>
      </c>
      <c r="C54" s="19" t="inlineStr">
        <is>
          <t>revenu net ÷ crédit : ≥ 1,20 rassure une banque</t>
        </is>
      </c>
    </row>
    <row r="55">
      <c r="A55" s="14" t="inlineStr">
        <is>
          <t>LTV — part financée par la banque</t>
        </is>
      </c>
      <c r="B55" s="25">
        <f>IFERROR(B37/B25,"")</f>
        <v/>
      </c>
      <c r="C55" s="19" t="inlineStr">
        <is>
          <t>≤ 80 % est la zone de confort bancaire</t>
        </is>
      </c>
    </row>
    <row r="56">
      <c r="A56" s="14" t="inlineStr">
        <is>
          <t>Effort d'épargne mensuel si négatif</t>
        </is>
      </c>
      <c r="B56" s="23">
        <f>MAX(0,-B48/12)</f>
        <v/>
      </c>
    </row>
    <row r="57">
      <c r="A57" s="14" t="inlineStr">
        <is>
          <t>Score de l'outil de veille</t>
        </is>
      </c>
      <c r="B57" s="15" t="inlineStr">
        <is>
          <t>77/100</t>
        </is>
      </c>
      <c r="C57" s="19" t="inlineStr">
        <is>
          <t>rendement, emplacement, prix vs marché, financement, fiscalité</t>
        </is>
      </c>
    </row>
  </sheetData>
  <mergeCells count="11">
    <mergeCell ref="A4:B4"/>
    <mergeCell ref="A41:C41"/>
    <mergeCell ref="A1:C1"/>
    <mergeCell ref="A3:C3"/>
    <mergeCell ref="A13:C14"/>
    <mergeCell ref="A34:C34"/>
    <mergeCell ref="A15:C15"/>
    <mergeCell ref="A7:C7"/>
    <mergeCell ref="A24:C24"/>
    <mergeCell ref="A2:C2"/>
    <mergeCell ref="A51:C51"/>
  </mergeCells>
  <conditionalFormatting sqref="B48">
    <cfRule type="cellIs" priority="1" operator="greaterThanOrEqual" dxfId="0">
      <formula>0</formula>
    </cfRule>
    <cfRule type="cellIs" priority="2" operator="lessThan" dxfId="1">
      <formula>0</formula>
    </cfRule>
  </conditionalFormatting>
  <conditionalFormatting sqref="B49">
    <cfRule type="cellIs" priority="3" operator="greaterThanOrEqual" dxfId="0">
      <formula>0</formula>
    </cfRule>
    <cfRule type="cellIs" priority="4" operator="lessThan" dxfId="1">
      <formula>0</formula>
    </cfRule>
  </conditionalFormatting>
  <conditionalFormatting sqref="B54">
    <cfRule type="cellIs" priority="5" operator="greaterThanOrEqual" dxfId="0">
      <formula>1.2</formula>
    </cfRule>
    <cfRule type="cellIs" priority="6" operator="lessThan" dxfId="1">
      <formula>1</formula>
    </cfRule>
  </conditionalFormatting>
  <conditionalFormatting sqref="B11">
    <cfRule type="cellIs" priority="7" operator="greaterThanOrEqual" dxfId="0">
      <formula>0</formula>
    </cfRule>
    <cfRule type="cellIs" priority="8" operator="lessThan" dxfId="1">
      <formula>0</formula>
    </cfRule>
  </conditionalFormatting>
  <hyperlinks>
    <hyperlink xmlns:r="http://schemas.openxmlformats.org/officeDocument/2006/relationships" ref="C4" r:id="rId1"/>
  </hyperlinks>
  <pageMargins left="0.75" right="0.75" top="1" bottom="1" header="0.5" footer="0.5"/>
  <pageSetup orientation="portrait" fitToHeight="0" fitToWidth="1"/>
  <headerFooter>
    <oddHeader/>
    <oddFooter>&amp;C&amp;8 Les Murs. — dossier indicatif généré automatiquement ; l'offre de prêt de la banque fait foi</oddFooter>
    <evenHeader/>
    <evenFooter/>
    <firstHeader/>
    <firstFooter/>
  </headerFooter>
  <drawing xmlns:r="http://schemas.openxmlformats.org/officeDocument/2006/relationships" r:id="rId2"/>
</worksheet>
</file>

<file path=xl/worksheets/sheet2.xml><?xml version="1.0" encoding="utf-8"?>
<worksheet xmlns="http://schemas.openxmlformats.org/spreadsheetml/2006/main">
  <sheetPr>
    <outlinePr summaryBelow="1" summaryRight="1"/>
    <pageSetUpPr/>
  </sheetPr>
  <dimension ref="A1:G31"/>
  <sheetViews>
    <sheetView showGridLines="0" workbookViewId="0">
      <selection activeCell="A1" sqref="A1"/>
    </sheetView>
  </sheetViews>
  <sheetFormatPr baseColWidth="8" defaultRowHeight="15"/>
  <cols>
    <col width="22" customWidth="1" min="1" max="1"/>
    <col width="22" customWidth="1" min="2" max="2"/>
    <col width="22" customWidth="1" min="3" max="3"/>
    <col width="22" customWidth="1" min="4" max="4"/>
    <col width="22" customWidth="1" min="5" max="5"/>
    <col hidden="1" width="13" customWidth="1" min="7" max="7"/>
  </cols>
  <sheetData>
    <row r="1">
      <c r="A1" s="27" t="inlineStr">
        <is>
          <t>Année</t>
        </is>
      </c>
      <c r="B1" s="27" t="inlineStr">
        <is>
          <t>Capital dû en début d'année</t>
        </is>
      </c>
      <c r="C1" s="27" t="inlineStr">
        <is>
          <t>Intérêts de l'année</t>
        </is>
      </c>
      <c r="D1" s="27" t="inlineStr">
        <is>
          <t>Capital remboursé</t>
        </is>
      </c>
      <c r="E1" s="27" t="inlineStr">
        <is>
          <t>Capital restant dû</t>
        </is>
      </c>
      <c r="G1">
        <f>'Synthèse'!B29</f>
        <v/>
      </c>
    </row>
    <row r="2">
      <c r="A2" t="n">
        <v>1</v>
      </c>
      <c r="B2" s="8">
        <f>IF(A2&lt;=$G$1,'Synthèse'!$B$37,"")</f>
        <v/>
      </c>
      <c r="C2" s="8">
        <f>IF(A2&lt;=$G$1,B2*$G$2,"")</f>
        <v/>
      </c>
      <c r="D2" s="8">
        <f>IF(A2&lt;=$G$1,MIN(B2,$G$3-C2),"")</f>
        <v/>
      </c>
      <c r="E2" s="8">
        <f>IF(A2&lt;=$G$1,MAX(0,B2-D2),"")</f>
        <v/>
      </c>
      <c r="F2" s="6" t="inlineStr">
        <is>
          <t>Tableau indicatif (pas annuel) — l'offre de prêt de la banque fait foi.</t>
        </is>
      </c>
      <c r="G2">
        <f>'Synthèse'!B28</f>
        <v/>
      </c>
    </row>
    <row r="3">
      <c r="A3" t="n">
        <v>2</v>
      </c>
      <c r="B3" s="8">
        <f>IF(A3&lt;=$G$1,E2,"")</f>
        <v/>
      </c>
      <c r="C3" s="8">
        <f>IF(A3&lt;=$G$1,B3*$G$2,"")</f>
        <v/>
      </c>
      <c r="D3" s="8">
        <f>IF(A3&lt;=$G$1,MIN(B3,$G$3-C3),"")</f>
        <v/>
      </c>
      <c r="E3" s="8">
        <f>IF(A3&lt;=$G$1,MAX(0,B3-D3),"")</f>
        <v/>
      </c>
      <c r="G3">
        <f>'Synthèse'!B39</f>
        <v/>
      </c>
    </row>
    <row r="4">
      <c r="A4" t="n">
        <v>3</v>
      </c>
      <c r="B4" s="8">
        <f>IF(A4&lt;=$G$1,E3,"")</f>
        <v/>
      </c>
      <c r="C4" s="8">
        <f>IF(A4&lt;=$G$1,B4*$G$2,"")</f>
        <v/>
      </c>
      <c r="D4" s="8">
        <f>IF(A4&lt;=$G$1,MIN(B4,$G$3-C4),"")</f>
        <v/>
      </c>
      <c r="E4" s="8">
        <f>IF(A4&lt;=$G$1,MAX(0,B4-D4),"")</f>
        <v/>
      </c>
    </row>
    <row r="5">
      <c r="A5" t="n">
        <v>4</v>
      </c>
      <c r="B5" s="8">
        <f>IF(A5&lt;=$G$1,E4,"")</f>
        <v/>
      </c>
      <c r="C5" s="8">
        <f>IF(A5&lt;=$G$1,B5*$G$2,"")</f>
        <v/>
      </c>
      <c r="D5" s="8">
        <f>IF(A5&lt;=$G$1,MIN(B5,$G$3-C5),"")</f>
        <v/>
      </c>
      <c r="E5" s="8">
        <f>IF(A5&lt;=$G$1,MAX(0,B5-D5),"")</f>
        <v/>
      </c>
    </row>
    <row r="6">
      <c r="A6" t="n">
        <v>5</v>
      </c>
      <c r="B6" s="8">
        <f>IF(A6&lt;=$G$1,E5,"")</f>
        <v/>
      </c>
      <c r="C6" s="8">
        <f>IF(A6&lt;=$G$1,B6*$G$2,"")</f>
        <v/>
      </c>
      <c r="D6" s="8">
        <f>IF(A6&lt;=$G$1,MIN(B6,$G$3-C6),"")</f>
        <v/>
      </c>
      <c r="E6" s="8">
        <f>IF(A6&lt;=$G$1,MAX(0,B6-D6),"")</f>
        <v/>
      </c>
    </row>
    <row r="7">
      <c r="A7" t="n">
        <v>6</v>
      </c>
      <c r="B7" s="8">
        <f>IF(A7&lt;=$G$1,E6,"")</f>
        <v/>
      </c>
      <c r="C7" s="8">
        <f>IF(A7&lt;=$G$1,B7*$G$2,"")</f>
        <v/>
      </c>
      <c r="D7" s="8">
        <f>IF(A7&lt;=$G$1,MIN(B7,$G$3-C7),"")</f>
        <v/>
      </c>
      <c r="E7" s="8">
        <f>IF(A7&lt;=$G$1,MAX(0,B7-D7),"")</f>
        <v/>
      </c>
    </row>
    <row r="8">
      <c r="A8" t="n">
        <v>7</v>
      </c>
      <c r="B8" s="8">
        <f>IF(A8&lt;=$G$1,E7,"")</f>
        <v/>
      </c>
      <c r="C8" s="8">
        <f>IF(A8&lt;=$G$1,B8*$G$2,"")</f>
        <v/>
      </c>
      <c r="D8" s="8">
        <f>IF(A8&lt;=$G$1,MIN(B8,$G$3-C8),"")</f>
        <v/>
      </c>
      <c r="E8" s="8">
        <f>IF(A8&lt;=$G$1,MAX(0,B8-D8),"")</f>
        <v/>
      </c>
    </row>
    <row r="9">
      <c r="A9" t="n">
        <v>8</v>
      </c>
      <c r="B9" s="8">
        <f>IF(A9&lt;=$G$1,E8,"")</f>
        <v/>
      </c>
      <c r="C9" s="8">
        <f>IF(A9&lt;=$G$1,B9*$G$2,"")</f>
        <v/>
      </c>
      <c r="D9" s="8">
        <f>IF(A9&lt;=$G$1,MIN(B9,$G$3-C9),"")</f>
        <v/>
      </c>
      <c r="E9" s="8">
        <f>IF(A9&lt;=$G$1,MAX(0,B9-D9),"")</f>
        <v/>
      </c>
    </row>
    <row r="10">
      <c r="A10" t="n">
        <v>9</v>
      </c>
      <c r="B10" s="8">
        <f>IF(A10&lt;=$G$1,E9,"")</f>
        <v/>
      </c>
      <c r="C10" s="8">
        <f>IF(A10&lt;=$G$1,B10*$G$2,"")</f>
        <v/>
      </c>
      <c r="D10" s="8">
        <f>IF(A10&lt;=$G$1,MIN(B10,$G$3-C10),"")</f>
        <v/>
      </c>
      <c r="E10" s="8">
        <f>IF(A10&lt;=$G$1,MAX(0,B10-D10),"")</f>
        <v/>
      </c>
    </row>
    <row r="11">
      <c r="A11" t="n">
        <v>10</v>
      </c>
      <c r="B11" s="8">
        <f>IF(A11&lt;=$G$1,E10,"")</f>
        <v/>
      </c>
      <c r="C11" s="8">
        <f>IF(A11&lt;=$G$1,B11*$G$2,"")</f>
        <v/>
      </c>
      <c r="D11" s="8">
        <f>IF(A11&lt;=$G$1,MIN(B11,$G$3-C11),"")</f>
        <v/>
      </c>
      <c r="E11" s="8">
        <f>IF(A11&lt;=$G$1,MAX(0,B11-D11),"")</f>
        <v/>
      </c>
    </row>
    <row r="12">
      <c r="A12" t="n">
        <v>11</v>
      </c>
      <c r="B12" s="8">
        <f>IF(A12&lt;=$G$1,E11,"")</f>
        <v/>
      </c>
      <c r="C12" s="8">
        <f>IF(A12&lt;=$G$1,B12*$G$2,"")</f>
        <v/>
      </c>
      <c r="D12" s="8">
        <f>IF(A12&lt;=$G$1,MIN(B12,$G$3-C12),"")</f>
        <v/>
      </c>
      <c r="E12" s="8">
        <f>IF(A12&lt;=$G$1,MAX(0,B12-D12),"")</f>
        <v/>
      </c>
    </row>
    <row r="13">
      <c r="A13" t="n">
        <v>12</v>
      </c>
      <c r="B13" s="8">
        <f>IF(A13&lt;=$G$1,E12,"")</f>
        <v/>
      </c>
      <c r="C13" s="8">
        <f>IF(A13&lt;=$G$1,B13*$G$2,"")</f>
        <v/>
      </c>
      <c r="D13" s="8">
        <f>IF(A13&lt;=$G$1,MIN(B13,$G$3-C13),"")</f>
        <v/>
      </c>
      <c r="E13" s="8">
        <f>IF(A13&lt;=$G$1,MAX(0,B13-D13),"")</f>
        <v/>
      </c>
    </row>
    <row r="14">
      <c r="A14" t="n">
        <v>13</v>
      </c>
      <c r="B14" s="8">
        <f>IF(A14&lt;=$G$1,E13,"")</f>
        <v/>
      </c>
      <c r="C14" s="8">
        <f>IF(A14&lt;=$G$1,B14*$G$2,"")</f>
        <v/>
      </c>
      <c r="D14" s="8">
        <f>IF(A14&lt;=$G$1,MIN(B14,$G$3-C14),"")</f>
        <v/>
      </c>
      <c r="E14" s="8">
        <f>IF(A14&lt;=$G$1,MAX(0,B14-D14),"")</f>
        <v/>
      </c>
    </row>
    <row r="15">
      <c r="A15" t="n">
        <v>14</v>
      </c>
      <c r="B15" s="8">
        <f>IF(A15&lt;=$G$1,E14,"")</f>
        <v/>
      </c>
      <c r="C15" s="8">
        <f>IF(A15&lt;=$G$1,B15*$G$2,"")</f>
        <v/>
      </c>
      <c r="D15" s="8">
        <f>IF(A15&lt;=$G$1,MIN(B15,$G$3-C15),"")</f>
        <v/>
      </c>
      <c r="E15" s="8">
        <f>IF(A15&lt;=$G$1,MAX(0,B15-D15),"")</f>
        <v/>
      </c>
    </row>
    <row r="16">
      <c r="A16" t="n">
        <v>15</v>
      </c>
      <c r="B16" s="8">
        <f>IF(A16&lt;=$G$1,E15,"")</f>
        <v/>
      </c>
      <c r="C16" s="8">
        <f>IF(A16&lt;=$G$1,B16*$G$2,"")</f>
        <v/>
      </c>
      <c r="D16" s="8">
        <f>IF(A16&lt;=$G$1,MIN(B16,$G$3-C16),"")</f>
        <v/>
      </c>
      <c r="E16" s="8">
        <f>IF(A16&lt;=$G$1,MAX(0,B16-D16),"")</f>
        <v/>
      </c>
    </row>
    <row r="17">
      <c r="A17" t="n">
        <v>16</v>
      </c>
      <c r="B17" s="8">
        <f>IF(A17&lt;=$G$1,E16,"")</f>
        <v/>
      </c>
      <c r="C17" s="8">
        <f>IF(A17&lt;=$G$1,B17*$G$2,"")</f>
        <v/>
      </c>
      <c r="D17" s="8">
        <f>IF(A17&lt;=$G$1,MIN(B17,$G$3-C17),"")</f>
        <v/>
      </c>
      <c r="E17" s="8">
        <f>IF(A17&lt;=$G$1,MAX(0,B17-D17),"")</f>
        <v/>
      </c>
    </row>
    <row r="18">
      <c r="A18" t="n">
        <v>17</v>
      </c>
      <c r="B18" s="8">
        <f>IF(A18&lt;=$G$1,E17,"")</f>
        <v/>
      </c>
      <c r="C18" s="8">
        <f>IF(A18&lt;=$G$1,B18*$G$2,"")</f>
        <v/>
      </c>
      <c r="D18" s="8">
        <f>IF(A18&lt;=$G$1,MIN(B18,$G$3-C18),"")</f>
        <v/>
      </c>
      <c r="E18" s="8">
        <f>IF(A18&lt;=$G$1,MAX(0,B18-D18),"")</f>
        <v/>
      </c>
    </row>
    <row r="19">
      <c r="A19" t="n">
        <v>18</v>
      </c>
      <c r="B19" s="8">
        <f>IF(A19&lt;=$G$1,E18,"")</f>
        <v/>
      </c>
      <c r="C19" s="8">
        <f>IF(A19&lt;=$G$1,B19*$G$2,"")</f>
        <v/>
      </c>
      <c r="D19" s="8">
        <f>IF(A19&lt;=$G$1,MIN(B19,$G$3-C19),"")</f>
        <v/>
      </c>
      <c r="E19" s="8">
        <f>IF(A19&lt;=$G$1,MAX(0,B19-D19),"")</f>
        <v/>
      </c>
    </row>
    <row r="20">
      <c r="A20" t="n">
        <v>19</v>
      </c>
      <c r="B20" s="8">
        <f>IF(A20&lt;=$G$1,E19,"")</f>
        <v/>
      </c>
      <c r="C20" s="8">
        <f>IF(A20&lt;=$G$1,B20*$G$2,"")</f>
        <v/>
      </c>
      <c r="D20" s="8">
        <f>IF(A20&lt;=$G$1,MIN(B20,$G$3-C20),"")</f>
        <v/>
      </c>
      <c r="E20" s="8">
        <f>IF(A20&lt;=$G$1,MAX(0,B20-D20),"")</f>
        <v/>
      </c>
    </row>
    <row r="21">
      <c r="A21" t="n">
        <v>20</v>
      </c>
      <c r="B21" s="8">
        <f>IF(A21&lt;=$G$1,E20,"")</f>
        <v/>
      </c>
      <c r="C21" s="8">
        <f>IF(A21&lt;=$G$1,B21*$G$2,"")</f>
        <v/>
      </c>
      <c r="D21" s="8">
        <f>IF(A21&lt;=$G$1,MIN(B21,$G$3-C21),"")</f>
        <v/>
      </c>
      <c r="E21" s="8">
        <f>IF(A21&lt;=$G$1,MAX(0,B21-D21),"")</f>
        <v/>
      </c>
    </row>
    <row r="22">
      <c r="A22" t="n">
        <v>21</v>
      </c>
      <c r="B22" s="8">
        <f>IF(A22&lt;=$G$1,E21,"")</f>
        <v/>
      </c>
      <c r="C22" s="8">
        <f>IF(A22&lt;=$G$1,B22*$G$2,"")</f>
        <v/>
      </c>
      <c r="D22" s="8">
        <f>IF(A22&lt;=$G$1,MIN(B22,$G$3-C22),"")</f>
        <v/>
      </c>
      <c r="E22" s="8">
        <f>IF(A22&lt;=$G$1,MAX(0,B22-D22),"")</f>
        <v/>
      </c>
    </row>
    <row r="23">
      <c r="A23" t="n">
        <v>22</v>
      </c>
      <c r="B23" s="8">
        <f>IF(A23&lt;=$G$1,E22,"")</f>
        <v/>
      </c>
      <c r="C23" s="8">
        <f>IF(A23&lt;=$G$1,B23*$G$2,"")</f>
        <v/>
      </c>
      <c r="D23" s="8">
        <f>IF(A23&lt;=$G$1,MIN(B23,$G$3-C23),"")</f>
        <v/>
      </c>
      <c r="E23" s="8">
        <f>IF(A23&lt;=$G$1,MAX(0,B23-D23),"")</f>
        <v/>
      </c>
    </row>
    <row r="24">
      <c r="A24" t="n">
        <v>23</v>
      </c>
      <c r="B24" s="8">
        <f>IF(A24&lt;=$G$1,E23,"")</f>
        <v/>
      </c>
      <c r="C24" s="8">
        <f>IF(A24&lt;=$G$1,B24*$G$2,"")</f>
        <v/>
      </c>
      <c r="D24" s="8">
        <f>IF(A24&lt;=$G$1,MIN(B24,$G$3-C24),"")</f>
        <v/>
      </c>
      <c r="E24" s="8">
        <f>IF(A24&lt;=$G$1,MAX(0,B24-D24),"")</f>
        <v/>
      </c>
    </row>
    <row r="25">
      <c r="A25" t="n">
        <v>24</v>
      </c>
      <c r="B25" s="8">
        <f>IF(A25&lt;=$G$1,E24,"")</f>
        <v/>
      </c>
      <c r="C25" s="8">
        <f>IF(A25&lt;=$G$1,B25*$G$2,"")</f>
        <v/>
      </c>
      <c r="D25" s="8">
        <f>IF(A25&lt;=$G$1,MIN(B25,$G$3-C25),"")</f>
        <v/>
      </c>
      <c r="E25" s="8">
        <f>IF(A25&lt;=$G$1,MAX(0,B25-D25),"")</f>
        <v/>
      </c>
    </row>
    <row r="26">
      <c r="A26" t="n">
        <v>25</v>
      </c>
      <c r="B26" s="8">
        <f>IF(A26&lt;=$G$1,E25,"")</f>
        <v/>
      </c>
      <c r="C26" s="8">
        <f>IF(A26&lt;=$G$1,B26*$G$2,"")</f>
        <v/>
      </c>
      <c r="D26" s="8">
        <f>IF(A26&lt;=$G$1,MIN(B26,$G$3-C26),"")</f>
        <v/>
      </c>
      <c r="E26" s="8">
        <f>IF(A26&lt;=$G$1,MAX(0,B26-D26),"")</f>
        <v/>
      </c>
    </row>
    <row r="27">
      <c r="A27" t="n">
        <v>26</v>
      </c>
      <c r="B27" s="8">
        <f>IF(A27&lt;=$G$1,E26,"")</f>
        <v/>
      </c>
      <c r="C27" s="8">
        <f>IF(A27&lt;=$G$1,B27*$G$2,"")</f>
        <v/>
      </c>
      <c r="D27" s="8">
        <f>IF(A27&lt;=$G$1,MIN(B27,$G$3-C27),"")</f>
        <v/>
      </c>
      <c r="E27" s="8">
        <f>IF(A27&lt;=$G$1,MAX(0,B27-D27),"")</f>
        <v/>
      </c>
    </row>
    <row r="28">
      <c r="A28" t="n">
        <v>27</v>
      </c>
      <c r="B28" s="8">
        <f>IF(A28&lt;=$G$1,E27,"")</f>
        <v/>
      </c>
      <c r="C28" s="8">
        <f>IF(A28&lt;=$G$1,B28*$G$2,"")</f>
        <v/>
      </c>
      <c r="D28" s="8">
        <f>IF(A28&lt;=$G$1,MIN(B28,$G$3-C28),"")</f>
        <v/>
      </c>
      <c r="E28" s="8">
        <f>IF(A28&lt;=$G$1,MAX(0,B28-D28),"")</f>
        <v/>
      </c>
    </row>
    <row r="29">
      <c r="A29" t="n">
        <v>28</v>
      </c>
      <c r="B29" s="8">
        <f>IF(A29&lt;=$G$1,E28,"")</f>
        <v/>
      </c>
      <c r="C29" s="8">
        <f>IF(A29&lt;=$G$1,B29*$G$2,"")</f>
        <v/>
      </c>
      <c r="D29" s="8">
        <f>IF(A29&lt;=$G$1,MIN(B29,$G$3-C29),"")</f>
        <v/>
      </c>
      <c r="E29" s="8">
        <f>IF(A29&lt;=$G$1,MAX(0,B29-D29),"")</f>
        <v/>
      </c>
    </row>
    <row r="30">
      <c r="A30" t="n">
        <v>29</v>
      </c>
      <c r="B30" s="8">
        <f>IF(A30&lt;=$G$1,E29,"")</f>
        <v/>
      </c>
      <c r="C30" s="8">
        <f>IF(A30&lt;=$G$1,B30*$G$2,"")</f>
        <v/>
      </c>
      <c r="D30" s="8">
        <f>IF(A30&lt;=$G$1,MIN(B30,$G$3-C30),"")</f>
        <v/>
      </c>
      <c r="E30" s="8">
        <f>IF(A30&lt;=$G$1,MAX(0,B30-D30),"")</f>
        <v/>
      </c>
    </row>
    <row r="31">
      <c r="A31" t="n">
        <v>30</v>
      </c>
      <c r="B31" s="8">
        <f>IF(A31&lt;=$G$1,E30,"")</f>
        <v/>
      </c>
      <c r="C31" s="8">
        <f>IF(A31&lt;=$G$1,B31*$G$2,"")</f>
        <v/>
      </c>
      <c r="D31" s="8">
        <f>IF(A31&lt;=$G$1,MIN(B31,$G$3-C31),"")</f>
        <v/>
      </c>
      <c r="E31" s="8">
        <f>IF(A31&lt;=$G$1,MAX(0,B31-D31),"")</f>
        <v/>
      </c>
    </row>
  </sheetData>
  <pageMargins left="0.75" right="0.75" top="1" bottom="1" header="0.5" footer="0.5"/>
  <drawing xmlns:r="http://schemas.openxmlformats.org/officeDocument/2006/relationships" r:id="rId1"/>
</worksheet>
</file>

<file path=xl/worksheets/sheet3.xml><?xml version="1.0" encoding="utf-8"?>
<worksheet xmlns="http://schemas.openxmlformats.org/spreadsheetml/2006/main">
  <sheetPr>
    <outlinePr summaryBelow="1" summaryRight="1"/>
    <pageSetUpPr/>
  </sheetPr>
  <dimension ref="A1:B12"/>
  <sheetViews>
    <sheetView showGridLines="0" workbookViewId="0">
      <selection activeCell="A1" sqref="A1"/>
    </sheetView>
  </sheetViews>
  <sheetFormatPr baseColWidth="8" defaultRowHeight="15"/>
  <cols>
    <col width="24" customWidth="1" min="1" max="1"/>
    <col width="100" customWidth="1" min="2" max="2"/>
  </cols>
  <sheetData>
    <row r="1">
      <c r="A1" s="28" t="inlineStr">
        <is>
          <t>Titre</t>
        </is>
      </c>
      <c r="B1" s="29" t="inlineStr">
        <is>
          <t>Murs commerciaux à vendre – Paris 15? – Emplacement recherché</t>
        </is>
      </c>
    </row>
    <row r="2">
      <c r="A2" s="28" t="inlineStr">
        <is>
          <t>Lien</t>
        </is>
      </c>
      <c r="B2" s="30" t="inlineStr">
        <is>
          <t>https://www.bureauxlocaux.com/annonce/murs-commerciaux-a-vendre-paris-15-emplacement-rec--42325980</t>
        </is>
      </c>
    </row>
    <row r="3">
      <c r="A3" s="28" t="inlineStr">
        <is>
          <t>Ville</t>
        </is>
      </c>
      <c r="B3" s="29" t="inlineStr">
        <is>
          <t>PARIS (75015)</t>
        </is>
      </c>
    </row>
    <row r="4">
      <c r="A4" s="28" t="inlineStr">
        <is>
          <t>Source</t>
        </is>
      </c>
      <c r="B4" s="29" t="inlineStr">
        <is>
          <t>bureauxlocaux</t>
        </is>
      </c>
    </row>
    <row r="5">
      <c r="A5" s="28" t="inlineStr">
        <is>
          <t>Première détection</t>
        </is>
      </c>
      <c r="B5" s="29" t="inlineStr">
        <is>
          <t>2026-09-24</t>
        </is>
      </c>
    </row>
    <row r="6">
      <c r="A6" s="28" t="inlineStr">
        <is>
          <t>Type</t>
        </is>
      </c>
      <c r="B6" s="29" t="inlineStr">
        <is>
          <t>Murs libres</t>
        </is>
      </c>
    </row>
    <row r="7">
      <c r="A7" s="28" t="inlineStr">
        <is>
          <t>Caractéristiques</t>
        </is>
      </c>
      <c r="B7" s="29" t="inlineStr">
        <is>
          <t>—</t>
        </is>
      </c>
    </row>
    <row r="8">
      <c r="A8" s="28" t="inlineStr">
        <is>
          <t>Évolution du prix</t>
        </is>
      </c>
      <c r="B8" s="29" t="inlineStr">
        <is>
          <t>stable depuis la première vue</t>
        </is>
      </c>
    </row>
    <row r="9">
      <c r="A9" s="28" t="inlineStr">
        <is>
          <t>Fourchette de marché</t>
        </is>
      </c>
      <c r="B9" s="29" t="inlineStr">
        <is>
          <t>553 ventes réelles 2023-2025 (DVF)</t>
        </is>
      </c>
    </row>
    <row r="10">
      <c r="A10" s="28" t="inlineStr">
        <is>
          <t>Lecture du prix</t>
        </is>
      </c>
      <c r="B10" s="29" t="inlineStr">
        <is>
          <t>Décote sans explication visible dans l'annonce : possible bonne affaire — ou défaut caché (état, copropriété, bail) à vérifier sur place.</t>
        </is>
      </c>
    </row>
    <row r="11">
      <c r="A11" s="28" t="inlineStr">
        <is>
          <t>Alertes</t>
        </is>
      </c>
      <c r="B11" s="29" t="inlineStr">
        <is>
          <t>loyer_estime · surface_a_ventiler · occupation_a_confirmer</t>
        </is>
      </c>
    </row>
    <row r="12" ht="110" customHeight="1">
      <c r="A12" s="28" t="inlineStr">
        <is>
          <t>Description</t>
        </is>
      </c>
      <c r="B12" s="29" t="inlineStr">
        <is>
          <t>L’Enseigne Parisienne vous propose des murs commerciaux à la vente, idéalement situés dans le 15ᵉ arrondissement de Paris, dans le secteur recherché de Saint-Lambert, à proximité immédiate de la Porte de Versailles, de Vaugirard et de Convention. Le local développe une surface totale d’environ 78 m², répartie comme suit : 53,33 m² en rez-de-chaussée et 24,72 m² en sous-sol. Prix de vente : 350 000 € net vendeur, honoraires d’intermédiation en sus. Taxe foncière 2025 : 1 350 € par an. Charges : 520 € par trimestre. Une opportunité idéale pour un investisseur ou un utilisateur souhaitant acquérir des murs commerciaux dans un secteur recherché du 15ᵉ arrondissement.</t>
        </is>
      </c>
    </row>
  </sheetData>
  <hyperlinks>
    <hyperlink xmlns:r="http://schemas.openxmlformats.org/officeDocument/2006/relationships" ref="B2" r:id="rId1"/>
  </hyperlinks>
  <pageMargins left="0.75" right="0.75" top="1" bottom="1" header="0.5" footer="0.5"/>
</worksheet>
</file>

<file path=docProps/app.xml><?xml version="1.0" encoding="utf-8"?>
<Properties xmlns="http://schemas.openxmlformats.org/officeDocument/2006/extended-properties">
  <Application>Microsoft Excel Compatible / Openpyxl 3.1.5</Application>
  <AppVersion>3.1</AppVersion>
</Properties>
</file>

<file path=docProps/core.xml><?xml version="1.0" encoding="utf-8"?>
<cp:coreProperties xmlns:cp="http://schemas.openxmlformats.org/package/2006/metadata/core-properties" xmlns:dc="http://purl.org/dc/elements/1.1/" xmlns:dcterms="http://purl.org/dc/terms/" xmlns:xsi="http://www.w3.org/2001/XMLSchema-instance">
  <dc:creator>openpyxl</dc:creator>
  <dcterms:created xsi:type="dcterms:W3CDTF">2026-10-26T11:25:58Z</dcterms:created>
  <dcterms:modified xsi:type="dcterms:W3CDTF">2026-10-26T11:25:58Z</dcterms:modified>
</cp:coreProperties>
</file>