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'Synthèse'!$A$1:$C$62</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4">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b val="1"/>
      <color rgb="0098351B"/>
      <sz val="10"/>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9" fillId="0" borderId="1" pivotButton="0" quotePrefix="0" xfId="0"/>
    <xf numFmtId="165" fontId="10" fillId="0" borderId="1" pivotButton="0" quotePrefix="0" xfId="0"/>
    <xf numFmtId="168" fontId="10" fillId="0" borderId="1" pivotButton="0" quotePrefix="0" xfId="0"/>
    <xf numFmtId="2" fontId="10" fillId="0" borderId="1" pivotButton="0" quotePrefix="0" xfId="0"/>
    <xf numFmtId="0" fontId="11"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0" fontId="5" fillId="0" borderId="0" applyAlignment="1" pivotButton="0" quotePrefix="0" xfId="0">
      <alignment vertical="center" wrapText="1"/>
    </xf>
    <xf numFmtId="165" fontId="7" fillId="4" borderId="1" pivotButton="0" quotePrefix="0" xfId="0"/>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8" fillId="0" borderId="0" applyAlignment="1" pivotButton="0" quotePrefix="0" xfId="0">
      <alignment vertical="top" wrapText="1"/>
    </xf>
    <xf numFmtId="0" fontId="6" fillId="2" borderId="0" applyAlignment="1" pivotButton="0" quotePrefix="0" xfId="0">
      <alignment vertical="center" wrapText="1"/>
    </xf>
    <xf numFmtId="0" fontId="12" fillId="0" borderId="0" pivotButton="0" quotePrefix="0" xfId="0"/>
    <xf numFmtId="0" fontId="0" fillId="0" borderId="0" applyAlignment="1" pivotButton="0" quotePrefix="0" xfId="0">
      <alignment vertical="top" wrapText="1"/>
    </xf>
    <xf numFmtId="0" fontId="13"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essionpme.com/annonce,immo-entreprise-achat-local-commercial-boutique-paris-16e-75016,2637797,A,offre.html"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cessionpme.com/annonce,immo-entreprise-achat-local-commercial-boutique-paris-16e-75016,2637797,A,offre.html" TargetMode="External" Id="rId1" /></Relationships>
</file>

<file path=xl/worksheets/sheet1.xml><?xml version="1.0" encoding="utf-8"?>
<worksheet xmlns="http://schemas.openxmlformats.org/spreadsheetml/2006/main">
  <sheetPr>
    <outlinePr summaryBelow="1" summaryRight="1"/>
    <pageSetUpPr fitToPage="1"/>
  </sheetPr>
  <dimension ref="A1:F61"/>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A vendre local commercial avec studio à Paris 16e</t>
        </is>
      </c>
    </row>
    <row r="4">
      <c r="A4" s="4" t="inlineStr">
        <is>
          <t>Paris 16e (75016) — annonce cessionpme du 2026-08-18</t>
        </is>
      </c>
      <c r="C4" s="5" t="inlineStr">
        <is>
          <t>Voir l'annonce en ligne ↗</t>
        </is>
      </c>
    </row>
    <row r="5">
      <c r="A5" s="6" t="inlineStr">
        <is>
          <t>Dossier généré le 23/10/2026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B26</f>
        <v/>
      </c>
      <c r="E8" s="6" t="inlineStr">
        <is>
          <t>Crédit + charges / mois</t>
        </is>
      </c>
      <c r="F8" s="8">
        <f>B39-(B44+B45+B46)/12</f>
        <v/>
      </c>
    </row>
    <row r="9">
      <c r="A9" s="9" t="inlineStr">
        <is>
          <t>Apport nécessaire</t>
        </is>
      </c>
      <c r="B9" s="10">
        <f>B37</f>
        <v/>
      </c>
      <c r="E9" s="6" t="inlineStr">
        <is>
          <t>Cash-flow</t>
        </is>
      </c>
      <c r="F9" s="8">
        <f>B50</f>
        <v/>
      </c>
    </row>
    <row r="10">
      <c r="A10" s="9" t="inlineStr">
        <is>
          <t>Mensualité de crédit estimée</t>
        </is>
      </c>
      <c r="B10" s="11">
        <f>B39</f>
        <v/>
      </c>
    </row>
    <row r="11">
      <c r="A11" s="9" t="inlineStr">
        <is>
          <t>Cash-flow mensuel attendu</t>
        </is>
      </c>
      <c r="B11" s="11">
        <f>B50</f>
        <v/>
      </c>
    </row>
    <row r="12">
      <c r="A12" s="9" t="inlineStr">
        <is>
          <t>DSCR (≥ 1,20 rassure)</t>
        </is>
      </c>
      <c r="B12" s="12">
        <f>B55</f>
        <v/>
      </c>
    </row>
    <row r="13">
      <c r="A13" s="13" t="inlineStr">
        <is>
          <t>EN CLAIR — Sur la base d'un loyer ESTIMÉ (pas de bail signé à ce stade) : aux hypothèses de ce dossier (apport 20 %, crédit 5,34 % sur 20 ans, charges provisionnées), le bien s'autofinance : le loyer couvre crédit et charges et laisse environ +1 445 €/mois.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54</v>
      </c>
    </row>
    <row r="18">
      <c r="A18" s="14" t="inlineStr">
        <is>
          <t>Prix affiché</t>
        </is>
      </c>
      <c r="B18" s="17" t="n">
        <v>365000</v>
      </c>
    </row>
    <row r="19">
      <c r="A19" s="14" t="inlineStr">
        <is>
          <t>Prix au m²</t>
        </is>
      </c>
      <c r="B19" s="17">
        <f>IFERROR(B18/B17,"")</f>
        <v/>
      </c>
    </row>
    <row r="20">
      <c r="A20" s="14" t="inlineStr">
        <is>
          <t>Loyer mensuel HT</t>
        </is>
      </c>
      <c r="B20" s="17" t="n">
        <v>4166</v>
      </c>
      <c r="C20" s="18" t="inlineStr">
        <is>
          <t>loyer du bail en place (à faire confirmer par le bail)</t>
        </is>
      </c>
    </row>
    <row r="21">
      <c r="A21" s="14" t="inlineStr">
        <is>
          <t>Marché local (prix/m²)</t>
        </is>
      </c>
      <c r="B21" s="15" t="inlineStr">
        <is>
          <t>6 142 à 12 120 €/m²</t>
        </is>
      </c>
      <c r="C21" s="18" t="inlineStr">
        <is>
          <t>ce bien est 29 % SOUS la médiane locale</t>
        </is>
      </c>
    </row>
    <row r="22">
      <c r="A22" s="14" t="inlineStr">
        <is>
          <t>Source de la fourchette</t>
        </is>
      </c>
      <c r="B22" s="15" t="inlineStr">
        <is>
          <t>507 ventes réelles 2023-2025 (DVF)</t>
        </is>
      </c>
      <c r="C22" s="18" t="inlineStr">
        <is>
          <t>DVF = prix réellement payés, enregistrés chez le notaire (data.gouv.fr)</t>
        </is>
      </c>
    </row>
    <row r="23">
      <c r="A23" s="14" t="inlineStr">
        <is>
          <t>Classe énergie (DPE)</t>
        </is>
      </c>
      <c r="B23" s="15" t="inlineStr">
        <is>
          <t>C</t>
        </is>
      </c>
      <c r="C23" s="18" t="inlineStr">
        <is>
          <t>annoncée par le vendeur — demander le diagnostic complet</t>
        </is>
      </c>
    </row>
    <row r="25" ht="18" customHeight="1">
      <c r="A25" s="7" t="inlineStr">
        <is>
          <t>HYPOTHÈSES — cellules jaunes à ajuster avec votre conseiller</t>
        </is>
      </c>
    </row>
    <row r="26">
      <c r="A26" s="14" t="inlineStr">
        <is>
          <t>Prix négocié retenu</t>
        </is>
      </c>
      <c r="B26" s="19" t="n">
        <v>365000</v>
      </c>
      <c r="C26" s="18" t="inlineStr">
        <is>
          <t>par défaut le prix affiché — un prix demandé se négocie</t>
        </is>
      </c>
    </row>
    <row r="27">
      <c r="A27" s="14" t="inlineStr">
        <is>
          <t>Frais d'acquisition (notaire, garanties)</t>
        </is>
      </c>
      <c r="B27" s="20" t="n">
        <v>0.08</v>
      </c>
    </row>
    <row r="28">
      <c r="A28" s="14" t="inlineStr">
        <is>
          <t>Apport personnel</t>
        </is>
      </c>
      <c r="B28" s="20" t="n">
        <v>0.2</v>
      </c>
    </row>
    <row r="29">
      <c r="A29" s="14" t="inlineStr">
        <is>
          <t>Taux du crédit (hors assurance)</t>
        </is>
      </c>
      <c r="B29" s="20" t="n">
        <v>0.0534</v>
      </c>
    </row>
    <row r="30">
      <c r="A30" s="14" t="inlineStr">
        <is>
          <t>Durée du crédit (années)</t>
        </is>
      </c>
      <c r="B30" s="21" t="n">
        <v>20</v>
      </c>
    </row>
    <row r="31">
      <c r="A31" s="14" t="inlineStr">
        <is>
          <t>Taxe foncière (en mois de loyer par an)</t>
        </is>
      </c>
      <c r="B31" s="22" t="n">
        <v>1</v>
      </c>
      <c r="C31" s="18" t="inlineStr">
        <is>
          <t>à remplacer par le montant réel dès que connu</t>
        </is>
      </c>
    </row>
    <row r="32">
      <c r="A32" s="14" t="inlineStr">
        <is>
          <t>Provision entretien &amp; vacance (% du loyer)</t>
        </is>
      </c>
      <c r="B32" s="20" t="n">
        <v>0.05</v>
      </c>
    </row>
    <row r="33">
      <c r="A33" s="14" t="inlineStr">
        <is>
          <t>Assurance propriétaire (PNO, €/an)</t>
        </is>
      </c>
      <c r="B33" s="19" t="n">
        <v>300</v>
      </c>
    </row>
    <row r="35" ht="18" customHeight="1">
      <c r="A35" s="7" t="inlineStr">
        <is>
          <t>PLAN DE FINANCEMENT</t>
        </is>
      </c>
    </row>
    <row r="36">
      <c r="A36" s="14" t="inlineStr">
        <is>
          <t>Coût d'acquisition total</t>
        </is>
      </c>
      <c r="B36" s="17">
        <f>B26*(1+B27)</f>
        <v/>
      </c>
      <c r="C36" s="18" t="inlineStr">
        <is>
          <t>prix négocié + frais d'acquisition</t>
        </is>
      </c>
    </row>
    <row r="37">
      <c r="A37" s="14" t="inlineStr">
        <is>
          <t>Apport personnel</t>
        </is>
      </c>
      <c r="B37" s="17">
        <f>B36*B28</f>
        <v/>
      </c>
    </row>
    <row r="38">
      <c r="A38" s="14" t="inlineStr">
        <is>
          <t>Montant emprunté</t>
        </is>
      </c>
      <c r="B38" s="17">
        <f>B36-B37</f>
        <v/>
      </c>
    </row>
    <row r="39">
      <c r="A39" s="14" t="inlineStr">
        <is>
          <t>Mensualité du crédit</t>
        </is>
      </c>
      <c r="B39" s="23">
        <f>IFERROR(-PMT(B29/12,B30*12,B38),0)</f>
        <v/>
      </c>
    </row>
    <row r="40">
      <c r="A40" s="14" t="inlineStr">
        <is>
          <t>Service de la dette (annuel)</t>
        </is>
      </c>
      <c r="B40" s="17">
        <f>B39*12</f>
        <v/>
      </c>
    </row>
    <row r="42" ht="18" customHeight="1">
      <c r="A42" s="7" t="inlineStr">
        <is>
          <t>EXPLOITATION ANNUELLE</t>
        </is>
      </c>
    </row>
    <row r="43">
      <c r="A43" s="14" t="inlineStr">
        <is>
          <t>Loyers annuels HT</t>
        </is>
      </c>
      <c r="B43" s="17">
        <f>IFERROR(B20*12,0)</f>
        <v/>
      </c>
    </row>
    <row r="44">
      <c r="A44" s="14" t="inlineStr">
        <is>
          <t>− Taxe foncière</t>
        </is>
      </c>
      <c r="B44" s="17">
        <f>-IFERROR(B20*B31,0)</f>
        <v/>
      </c>
    </row>
    <row r="45">
      <c r="A45" s="14" t="inlineStr">
        <is>
          <t>− Entretien &amp; vacance locative</t>
        </is>
      </c>
      <c r="B45" s="17">
        <f>-B43*B32</f>
        <v/>
      </c>
    </row>
    <row r="46">
      <c r="A46" s="14" t="inlineStr">
        <is>
          <t>− Assurance PNO</t>
        </is>
      </c>
      <c r="B46" s="17">
        <f>-B33</f>
        <v/>
      </c>
    </row>
    <row r="47">
      <c r="A47" s="14" t="inlineStr">
        <is>
          <t>Revenu net avant crédit</t>
        </is>
      </c>
      <c r="B47" s="17">
        <f>B43+B44+B45+B46</f>
        <v/>
      </c>
    </row>
    <row r="48">
      <c r="A48" s="14" t="inlineStr">
        <is>
          <t>− Remboursement du crédit</t>
        </is>
      </c>
      <c r="B48" s="17">
        <f>-B40</f>
        <v/>
      </c>
    </row>
    <row r="49">
      <c r="A49" s="14" t="inlineStr">
        <is>
          <t>Cash-flow annuel</t>
        </is>
      </c>
      <c r="B49" s="17">
        <f>B47-B40</f>
        <v/>
      </c>
    </row>
    <row r="50">
      <c r="A50" s="14" t="inlineStr">
        <is>
          <t>Cash-flow mensuel</t>
        </is>
      </c>
      <c r="B50" s="24">
        <f>B49/12</f>
        <v/>
      </c>
      <c r="C50" s="18" t="inlineStr">
        <is>
          <t>positif : le bien se paie tout seul, loyer ≥ crédit + charges</t>
        </is>
      </c>
    </row>
    <row r="52" ht="18" customHeight="1">
      <c r="A52" s="7" t="inlineStr">
        <is>
          <t>LES RATIOS QUE REGARDE LE BANQUIER</t>
        </is>
      </c>
    </row>
    <row r="53">
      <c r="A53" s="14" t="inlineStr">
        <is>
          <t>Rendement brut</t>
        </is>
      </c>
      <c r="B53" s="25">
        <f>IFERROR(B43/B26,"")</f>
        <v/>
      </c>
      <c r="C53" s="18" t="inlineStr">
        <is>
          <t>loyer annuel ÷ prix — la base de comparaison des biens</t>
        </is>
      </c>
    </row>
    <row r="54">
      <c r="A54" s="14" t="inlineStr">
        <is>
          <t>Rendement net avant crédit</t>
        </is>
      </c>
      <c r="B54" s="25">
        <f>IFERROR(B47/B36,"")</f>
        <v/>
      </c>
      <c r="C54" s="18" t="inlineStr">
        <is>
          <t>après taxe foncière, entretien et assurance</t>
        </is>
      </c>
    </row>
    <row r="55">
      <c r="A55" s="14" t="inlineStr">
        <is>
          <t>DSCR — couverture de la dette</t>
        </is>
      </c>
      <c r="B55" s="26">
        <f>IFERROR(B47/B40,"")</f>
        <v/>
      </c>
      <c r="C55" s="18" t="inlineStr">
        <is>
          <t>revenu net ÷ crédit : ≥ 1,20 rassure une banque</t>
        </is>
      </c>
    </row>
    <row r="56">
      <c r="A56" s="14" t="inlineStr">
        <is>
          <t>LTV — part financée par la banque</t>
        </is>
      </c>
      <c r="B56" s="25">
        <f>IFERROR(B38/B26,"")</f>
        <v/>
      </c>
      <c r="C56" s="18" t="inlineStr">
        <is>
          <t>≤ 80 % est la zone de confort bancaire</t>
        </is>
      </c>
    </row>
    <row r="57">
      <c r="A57" s="14" t="inlineStr">
        <is>
          <t>Effort d'épargne mensuel si négatif</t>
        </is>
      </c>
      <c r="B57" s="23">
        <f>MAX(0,-B49/12)</f>
        <v/>
      </c>
    </row>
    <row r="58">
      <c r="A58" s="14" t="inlineStr">
        <is>
          <t>Score de l'outil de veille</t>
        </is>
      </c>
      <c r="B58" s="15" t="inlineStr">
        <is>
          <t>64/100</t>
        </is>
      </c>
      <c r="C58" s="18" t="inlineStr">
        <is>
          <t>rendement, emplacement, prix vs marché, financement, fiscalité</t>
        </is>
      </c>
    </row>
    <row r="60">
      <c r="A60" s="27" t="inlineStr">
        <is>
          <t>⚠ AVERTISSEMENT : le rendement affiché par le vendeur est anormalement élevé. Exiger le bail et les quittances avant toute offre — ce dossier reprend le loyer annoncé tel quel.</t>
        </is>
      </c>
    </row>
    <row r="61"/>
  </sheetData>
  <mergeCells count="12">
    <mergeCell ref="A4:B4"/>
    <mergeCell ref="A25:C25"/>
    <mergeCell ref="A42:C42"/>
    <mergeCell ref="A1:C1"/>
    <mergeCell ref="A3:C3"/>
    <mergeCell ref="A13:C14"/>
    <mergeCell ref="A35:C35"/>
    <mergeCell ref="A60:C61"/>
    <mergeCell ref="A15:C15"/>
    <mergeCell ref="A7:C7"/>
    <mergeCell ref="A2:C2"/>
    <mergeCell ref="A52:C52"/>
  </mergeCells>
  <conditionalFormatting sqref="B49">
    <cfRule type="cellIs" priority="1" operator="greaterThanOrEqual" dxfId="0">
      <formula>0</formula>
    </cfRule>
    <cfRule type="cellIs" priority="2" operator="lessThan" dxfId="1">
      <formula>0</formula>
    </cfRule>
  </conditionalFormatting>
  <conditionalFormatting sqref="B50">
    <cfRule type="cellIs" priority="3" operator="greaterThanOrEqual" dxfId="0">
      <formula>0</formula>
    </cfRule>
    <cfRule type="cellIs" priority="4" operator="lessThan" dxfId="1">
      <formula>0</formula>
    </cfRule>
  </conditionalFormatting>
  <conditionalFormatting sqref="B55">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8" t="inlineStr">
        <is>
          <t>Année</t>
        </is>
      </c>
      <c r="B1" s="28" t="inlineStr">
        <is>
          <t>Capital dû en début d'année</t>
        </is>
      </c>
      <c r="C1" s="28" t="inlineStr">
        <is>
          <t>Intérêts de l'année</t>
        </is>
      </c>
      <c r="D1" s="28" t="inlineStr">
        <is>
          <t>Capital remboursé</t>
        </is>
      </c>
      <c r="E1" s="28" t="inlineStr">
        <is>
          <t>Capital restant dû</t>
        </is>
      </c>
      <c r="G1">
        <f>'Synthèse'!B30</f>
        <v/>
      </c>
    </row>
    <row r="2">
      <c r="A2" t="n">
        <v>1</v>
      </c>
      <c r="B2" s="8">
        <f>IF(A2&lt;=$G$1,'Synthèse'!$B$38,"")</f>
        <v/>
      </c>
      <c r="C2" s="8">
        <f>IF(A2&lt;=$G$1,B2*$G$2,"")</f>
        <v/>
      </c>
      <c r="D2" s="8">
        <f>IF(A2&lt;=$G$1,MIN(B2,$G$3-C2),"")</f>
        <v/>
      </c>
      <c r="E2" s="8">
        <f>IF(A2&lt;=$G$1,MAX(0,B2-D2),"")</f>
        <v/>
      </c>
      <c r="F2" s="6" t="inlineStr">
        <is>
          <t>Tableau indicatif (pas annuel) — l'offre de prêt de la banque fait foi.</t>
        </is>
      </c>
      <c r="G2">
        <f>'Synthèse'!B29</f>
        <v/>
      </c>
    </row>
    <row r="3">
      <c r="A3" t="n">
        <v>2</v>
      </c>
      <c r="B3" s="8">
        <f>IF(A3&lt;=$G$1,E2,"")</f>
        <v/>
      </c>
      <c r="C3" s="8">
        <f>IF(A3&lt;=$G$1,B3*$G$2,"")</f>
        <v/>
      </c>
      <c r="D3" s="8">
        <f>IF(A3&lt;=$G$1,MIN(B3,$G$3-C3),"")</f>
        <v/>
      </c>
      <c r="E3" s="8">
        <f>IF(A3&lt;=$G$1,MAX(0,B3-D3),"")</f>
        <v/>
      </c>
      <c r="G3">
        <f>'Synthèse'!B40</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9" t="inlineStr">
        <is>
          <t>Titre</t>
        </is>
      </c>
      <c r="B1" s="30" t="inlineStr">
        <is>
          <t>A vendre local commercial avec studio à Paris 16e</t>
        </is>
      </c>
    </row>
    <row r="2">
      <c r="A2" s="29" t="inlineStr">
        <is>
          <t>Lien</t>
        </is>
      </c>
      <c r="B2" s="31" t="inlineStr">
        <is>
          <t>https://www.cessionpme.com/annonce,immo-entreprise-achat-local-commercial-boutique-paris-16e-75016,2637797,A,offre.html</t>
        </is>
      </c>
    </row>
    <row r="3">
      <c r="A3" s="29" t="inlineStr">
        <is>
          <t>Ville</t>
        </is>
      </c>
      <c r="B3" s="30" t="inlineStr">
        <is>
          <t>Paris 16e (75016)</t>
        </is>
      </c>
    </row>
    <row r="4">
      <c r="A4" s="29" t="inlineStr">
        <is>
          <t>Source</t>
        </is>
      </c>
      <c r="B4" s="30" t="inlineStr">
        <is>
          <t>cessionpme</t>
        </is>
      </c>
    </row>
    <row r="5">
      <c r="A5" s="29" t="inlineStr">
        <is>
          <t>Première détection</t>
        </is>
      </c>
      <c r="B5" s="30" t="inlineStr">
        <is>
          <t>2026-08-18</t>
        </is>
      </c>
    </row>
    <row r="6">
      <c r="A6" s="29" t="inlineStr">
        <is>
          <t>Type</t>
        </is>
      </c>
      <c r="B6" s="30" t="inlineStr">
        <is>
          <t>Murs libres</t>
        </is>
      </c>
    </row>
    <row r="7">
      <c r="A7" s="29" t="inlineStr">
        <is>
          <t>Caractéristiques</t>
        </is>
      </c>
      <c r="B7" s="30" t="inlineStr">
        <is>
          <t>—</t>
        </is>
      </c>
    </row>
    <row r="8">
      <c r="A8" s="29" t="inlineStr">
        <is>
          <t>Évolution du prix</t>
        </is>
      </c>
      <c r="B8" s="30" t="inlineStr">
        <is>
          <t>stable depuis la première vue</t>
        </is>
      </c>
    </row>
    <row r="9">
      <c r="A9" s="29" t="inlineStr">
        <is>
          <t>Fourchette de marché</t>
        </is>
      </c>
      <c r="B9" s="30" t="inlineStr">
        <is>
          <t>507 ventes réelles 2023-2025 (DVF)</t>
        </is>
      </c>
    </row>
    <row r="10">
      <c r="A10" s="29" t="inlineStr">
        <is>
          <t>Lecture du prix</t>
        </is>
      </c>
      <c r="B10" s="30" t="inlineStr">
        <is>
          <t>Décote sans explication visible dans l'annonce : possible bonne affaire — ou défaut caché (état, copropriété, bail) à vérifier sur place.</t>
        </is>
      </c>
    </row>
    <row r="11">
      <c r="A11" s="29" t="inlineStr">
        <is>
          <t>Alertes</t>
        </is>
      </c>
      <c r="B11" s="30" t="inlineStr">
        <is>
          <t>loyer_estime · rendement_anormalement_eleve</t>
        </is>
      </c>
    </row>
    <row r="12" ht="110" customHeight="1">
      <c r="A12" s="29" t="inlineStr">
        <is>
          <t>Description</t>
        </is>
      </c>
      <c r="B12" s="30" t="inlineStr">
        <is>
          <t>Idéalement situé dans le 16eme arrondissement de Paris, ce local commercial bénéficie d'un environnement recherché, caractérisé par son calme, son élégance et son architecture remarquable. Ce secteur prisé, bien desservi par les transports en commun, offre un cadre de vie agréable et dynamique, parfait pour une activité commerciale. Caractéristiques du bien : - Surface commerciale en rez-de-chaussée avec une belle vitrine offrant une visibilité optimale (18,44 m2). - Studio et/ou bureau au 1er étage, idéal pour un usage privé ou un bureau (18,69 m2). - Zone de stockage en sous-sol, chauffée et parfaitement exploitable (13,7 m2). Deux escaliers desservent les trois niveaux, facilitant la circulation et l'aménagement des espaces. Ce bien rare sur le marché combine une localisation stratégique et un agencement fonctionnel, parfait pour toute activité nécessitant un espace de vente, un bureau indépendant et une zone de stockage efficace. Les honoraires sont à la charge de l'acquéreur. DPE C - GES B. Bien soumis au régime de la copropriété. Charges annuelles de 1228€. Pas de procédure en cours. Contactez Maxime Ramond Bluzet pour plus d'informations ou organiser une visite : maxime@cesaretbrutus.com / 06 48 14 62 71 REF MR-6892-2 Honoraires inclus de 4.29% à la charge de l'acquéreur. Prix hors honoraires 350 000 €. Dans une copropriété de 65 lots. Quote-part moyenne du budget prévisionnel 1 228 €/an. Procédure en cours : 39/2173. Classe énergie C, Classe climat A. Les informations sur les risques auxquels ce bien est exposé sont disponibles sur le site Géorisques : georisques.gouv.fr.</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2026-10-23T00:13:05Z</dcterms:created>
  <dcterms:modified xsi:type="dcterms:W3CDTF">2026-10-23T00:13:05Z</dcterms:modified>
</cp:coreProperties>
</file>