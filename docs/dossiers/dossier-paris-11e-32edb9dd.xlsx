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'Synthèse'!$A$1:$C$59</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olocaux.com/annonce/local-commercial-paris-11e-rue-saint-maur-693494.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geolocaux.com/annonce/local-commercial-paris-11e-rue-saint-maur-693494.html" TargetMode="External" Id="rId1" /></Relationships>
</file>

<file path=xl/worksheets/sheet1.xml><?xml version="1.0" encoding="utf-8"?>
<worksheet xmlns="http://schemas.openxmlformats.org/spreadsheetml/2006/main">
  <sheetPr>
    <outlinePr summaryBelow="1" summaryRight="1"/>
    <pageSetUpPr fitToPage="1"/>
  </sheetPr>
  <dimension ref="A1:F58"/>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commercial Paris 11e - Rue Saint-Maur</t>
        </is>
      </c>
    </row>
    <row r="4">
      <c r="A4" s="4" t="inlineStr">
        <is>
          <t>Paris 11e (75011) — annonce geolocaux du 2026-07-06</t>
        </is>
      </c>
      <c r="C4" s="5" t="inlineStr">
        <is>
          <t>Voir l'annonce en ligne ↗</t>
        </is>
      </c>
    </row>
    <row r="5">
      <c r="A5" s="6" t="inlineStr">
        <is>
          <t>Dossier généré le 14/10/2026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B26</f>
        <v/>
      </c>
      <c r="E8" s="6" t="inlineStr">
        <is>
          <t>Crédit + charges / mois</t>
        </is>
      </c>
      <c r="F8" s="8">
        <f>B39-(B44+B45+B46)/12</f>
        <v/>
      </c>
    </row>
    <row r="9">
      <c r="A9" s="9" t="inlineStr">
        <is>
          <t>Apport nécessaire</t>
        </is>
      </c>
      <c r="B9" s="10">
        <f>B37</f>
        <v/>
      </c>
      <c r="E9" s="6" t="inlineStr">
        <is>
          <t>Cash-flow</t>
        </is>
      </c>
      <c r="F9" s="8">
        <f>B50</f>
        <v/>
      </c>
    </row>
    <row r="10">
      <c r="A10" s="9" t="inlineStr">
        <is>
          <t>Mensualité de crédit estimée</t>
        </is>
      </c>
      <c r="B10" s="11">
        <f>B39</f>
        <v/>
      </c>
    </row>
    <row r="11">
      <c r="A11" s="9" t="inlineStr">
        <is>
          <t>Cash-flow mensuel attendu</t>
        </is>
      </c>
      <c r="B11" s="11">
        <f>B50</f>
        <v/>
      </c>
    </row>
    <row r="12">
      <c r="A12" s="9" t="inlineStr">
        <is>
          <t>DSCR (≥ 1,20 rassure)</t>
        </is>
      </c>
      <c r="B12" s="12">
        <f>B55</f>
        <v/>
      </c>
    </row>
    <row r="13">
      <c r="A13" s="13" t="inlineStr">
        <is>
          <t>EN CLAIR — aux hypothèses de ce dossier (apport 20 %, crédit 5,34 % sur 20 ans, charges provisionnées), il reste environ 186 €/mois à financer en plus du loyer — marge de négociation ou apport supplémentaire à prévoir.</t>
        </is>
      </c>
    </row>
    <row r="14"/>
    <row r="15" ht="18" customHeight="1">
      <c r="A15" s="7" t="inlineStr">
        <is>
          <t>LE BIEN</t>
        </is>
      </c>
    </row>
    <row r="16">
      <c r="A16" s="14" t="inlineStr">
        <is>
          <t>État locatif</t>
        </is>
      </c>
      <c r="B16" s="15" t="inlineStr">
        <is>
          <t>Murs occupés — un locataire en place paie déjà un loyer</t>
        </is>
      </c>
    </row>
    <row r="17">
      <c r="A17" s="14" t="inlineStr">
        <is>
          <t>Surface</t>
        </is>
      </c>
      <c r="B17" s="16" t="n">
        <v>26</v>
      </c>
    </row>
    <row r="18">
      <c r="A18" s="14" t="inlineStr">
        <is>
          <t>Prix affiché</t>
        </is>
      </c>
      <c r="B18" s="17" t="n">
        <v>200000</v>
      </c>
    </row>
    <row r="19">
      <c r="A19" s="14" t="inlineStr">
        <is>
          <t>Prix au m²</t>
        </is>
      </c>
      <c r="B19" s="17">
        <f>IFERROR(B18/B17,"")</f>
        <v/>
      </c>
    </row>
    <row r="20">
      <c r="A20" s="14" t="inlineStr">
        <is>
          <t>Loyer mensuel HT</t>
        </is>
      </c>
      <c r="B20" s="17" t="n">
        <v>1168</v>
      </c>
      <c r="C20" s="18" t="inlineStr">
        <is>
          <t>loyer du bail en place (à faire confirmer par le bail)</t>
        </is>
      </c>
    </row>
    <row r="21">
      <c r="A21" s="14" t="inlineStr">
        <is>
          <t>Marché local (prix/m²)</t>
        </is>
      </c>
      <c r="B21" s="15" t="inlineStr">
        <is>
          <t>4 468 à 9 878 €/m²</t>
        </is>
      </c>
      <c r="C21" s="18" t="inlineStr">
        <is>
          <t>ce bien est 9 % au-dessus de la médiane locale</t>
        </is>
      </c>
    </row>
    <row r="22">
      <c r="A22" s="14" t="inlineStr">
        <is>
          <t>Source de la fourchette</t>
        </is>
      </c>
      <c r="B22" s="15" t="inlineStr">
        <is>
          <t>572 ventes réelles 2023-2025 (DVF)</t>
        </is>
      </c>
      <c r="C22" s="18" t="inlineStr">
        <is>
          <t>DVF = prix réellement payés, enregistrés chez le notaire (data.gouv.fr)</t>
        </is>
      </c>
    </row>
    <row r="23">
      <c r="A23" s="14" t="inlineStr">
        <is>
          <t>Évolution du prix demandé</t>
        </is>
      </c>
      <c r="B23" s="15" t="inlineStr">
        <is>
          <t>200 000 € (06/07) → 190 000 € (23/09) → 200 000 € (03/10)  —  +0.0 % depuis la première vue</t>
        </is>
      </c>
      <c r="C23" s="18" t="inlineStr">
        <is>
          <t>un prix qui baisse est un levier de négociation documenté</t>
        </is>
      </c>
    </row>
    <row r="25" ht="18" customHeight="1">
      <c r="A25" s="7" t="inlineStr">
        <is>
          <t>HYPOTHÈSES — cellules jaunes à ajuster avec votre conseiller</t>
        </is>
      </c>
    </row>
    <row r="26">
      <c r="A26" s="14" t="inlineStr">
        <is>
          <t>Prix négocié retenu</t>
        </is>
      </c>
      <c r="B26" s="19" t="n">
        <v>200000</v>
      </c>
      <c r="C26" s="18" t="inlineStr">
        <is>
          <t>par défaut le prix affiché — un prix demandé se négocie</t>
        </is>
      </c>
    </row>
    <row r="27">
      <c r="A27" s="14" t="inlineStr">
        <is>
          <t>Frais d'acquisition (notaire, garanties)</t>
        </is>
      </c>
      <c r="B27" s="20" t="n">
        <v>0.08</v>
      </c>
    </row>
    <row r="28">
      <c r="A28" s="14" t="inlineStr">
        <is>
          <t>Apport personnel</t>
        </is>
      </c>
      <c r="B28" s="20" t="n">
        <v>0.2</v>
      </c>
    </row>
    <row r="29">
      <c r="A29" s="14" t="inlineStr">
        <is>
          <t>Taux du crédit (hors assurance)</t>
        </is>
      </c>
      <c r="B29" s="20" t="n">
        <v>0.0534</v>
      </c>
    </row>
    <row r="30">
      <c r="A30" s="14" t="inlineStr">
        <is>
          <t>Durée du crédit (années)</t>
        </is>
      </c>
      <c r="B30" s="21" t="n">
        <v>20</v>
      </c>
    </row>
    <row r="31">
      <c r="A31" s="14" t="inlineStr">
        <is>
          <t>Taxe foncière (en mois de loyer par an)</t>
        </is>
      </c>
      <c r="B31" s="22" t="n">
        <v>1</v>
      </c>
      <c r="C31" s="18" t="inlineStr">
        <is>
          <t>à remplacer par le montant réel dès que connu</t>
        </is>
      </c>
    </row>
    <row r="32">
      <c r="A32" s="14" t="inlineStr">
        <is>
          <t>Provision entretien &amp; vacance (% du loyer)</t>
        </is>
      </c>
      <c r="B32" s="20" t="n">
        <v>0.05</v>
      </c>
    </row>
    <row r="33">
      <c r="A33" s="14" t="inlineStr">
        <is>
          <t>Assurance propriétaire (PNO, €/an)</t>
        </is>
      </c>
      <c r="B33" s="19" t="n">
        <v>300</v>
      </c>
    </row>
    <row r="35" ht="18" customHeight="1">
      <c r="A35" s="7" t="inlineStr">
        <is>
          <t>PLAN DE FINANCEMENT</t>
        </is>
      </c>
    </row>
    <row r="36">
      <c r="A36" s="14" t="inlineStr">
        <is>
          <t>Coût d'acquisition total</t>
        </is>
      </c>
      <c r="B36" s="17">
        <f>B26*(1+B27)</f>
        <v/>
      </c>
      <c r="C36" s="18" t="inlineStr">
        <is>
          <t>prix négocié + frais d'acquisition</t>
        </is>
      </c>
    </row>
    <row r="37">
      <c r="A37" s="14" t="inlineStr">
        <is>
          <t>Apport personnel</t>
        </is>
      </c>
      <c r="B37" s="17">
        <f>B36*B28</f>
        <v/>
      </c>
    </row>
    <row r="38">
      <c r="A38" s="14" t="inlineStr">
        <is>
          <t>Montant emprunté</t>
        </is>
      </c>
      <c r="B38" s="17">
        <f>B36-B37</f>
        <v/>
      </c>
    </row>
    <row r="39">
      <c r="A39" s="14" t="inlineStr">
        <is>
          <t>Mensualité du crédit</t>
        </is>
      </c>
      <c r="B39" s="23">
        <f>IFERROR(-PMT(B29/12,B30*12,B38),0)</f>
        <v/>
      </c>
    </row>
    <row r="40">
      <c r="A40" s="14" t="inlineStr">
        <is>
          <t>Service de la dette (annuel)</t>
        </is>
      </c>
      <c r="B40" s="17">
        <f>B39*12</f>
        <v/>
      </c>
    </row>
    <row r="42" ht="18" customHeight="1">
      <c r="A42" s="7" t="inlineStr">
        <is>
          <t>EXPLOITATION ANNUELLE</t>
        </is>
      </c>
    </row>
    <row r="43">
      <c r="A43" s="14" t="inlineStr">
        <is>
          <t>Loyers annuels HT</t>
        </is>
      </c>
      <c r="B43" s="17">
        <f>IFERROR(B20*12,0)</f>
        <v/>
      </c>
    </row>
    <row r="44">
      <c r="A44" s="14" t="inlineStr">
        <is>
          <t>− Taxe foncière</t>
        </is>
      </c>
      <c r="B44" s="17">
        <f>-IFERROR(B20*B31,0)</f>
        <v/>
      </c>
    </row>
    <row r="45">
      <c r="A45" s="14" t="inlineStr">
        <is>
          <t>− Entretien &amp; vacance locative</t>
        </is>
      </c>
      <c r="B45" s="17">
        <f>-B43*B32</f>
        <v/>
      </c>
    </row>
    <row r="46">
      <c r="A46" s="14" t="inlineStr">
        <is>
          <t>− Assurance PNO</t>
        </is>
      </c>
      <c r="B46" s="17">
        <f>-B33</f>
        <v/>
      </c>
    </row>
    <row r="47">
      <c r="A47" s="14" t="inlineStr">
        <is>
          <t>Revenu net avant crédit</t>
        </is>
      </c>
      <c r="B47" s="17">
        <f>B43+B44+B45+B46</f>
        <v/>
      </c>
    </row>
    <row r="48">
      <c r="A48" s="14" t="inlineStr">
        <is>
          <t>− Remboursement du crédit</t>
        </is>
      </c>
      <c r="B48" s="17">
        <f>-B40</f>
        <v/>
      </c>
    </row>
    <row r="49">
      <c r="A49" s="14" t="inlineStr">
        <is>
          <t>Cash-flow annuel</t>
        </is>
      </c>
      <c r="B49" s="17">
        <f>B47-B40</f>
        <v/>
      </c>
    </row>
    <row r="50">
      <c r="A50" s="14" t="inlineStr">
        <is>
          <t>Cash-flow mensuel</t>
        </is>
      </c>
      <c r="B50" s="24">
        <f>B49/12</f>
        <v/>
      </c>
      <c r="C50" s="18" t="inlineStr">
        <is>
          <t>positif : le bien se paie tout seul, loyer ≥ crédit + charges</t>
        </is>
      </c>
    </row>
    <row r="52" ht="18" customHeight="1">
      <c r="A52" s="7" t="inlineStr">
        <is>
          <t>LES RATIOS QUE REGARDE LE BANQUIER</t>
        </is>
      </c>
    </row>
    <row r="53">
      <c r="A53" s="14" t="inlineStr">
        <is>
          <t>Rendement brut</t>
        </is>
      </c>
      <c r="B53" s="25">
        <f>IFERROR(B43/B26,"")</f>
        <v/>
      </c>
      <c r="C53" s="18" t="inlineStr">
        <is>
          <t>loyer annuel ÷ prix — la base de comparaison des biens</t>
        </is>
      </c>
    </row>
    <row r="54">
      <c r="A54" s="14" t="inlineStr">
        <is>
          <t>Rendement net avant crédit</t>
        </is>
      </c>
      <c r="B54" s="25">
        <f>IFERROR(B47/B36,"")</f>
        <v/>
      </c>
      <c r="C54" s="18" t="inlineStr">
        <is>
          <t>après taxe foncière, entretien et assurance</t>
        </is>
      </c>
    </row>
    <row r="55">
      <c r="A55" s="14" t="inlineStr">
        <is>
          <t>DSCR — couverture de la dette</t>
        </is>
      </c>
      <c r="B55" s="26">
        <f>IFERROR(B47/B40,"")</f>
        <v/>
      </c>
      <c r="C55" s="18" t="inlineStr">
        <is>
          <t>revenu net ÷ crédit : ≥ 1,20 rassure une banque</t>
        </is>
      </c>
    </row>
    <row r="56">
      <c r="A56" s="14" t="inlineStr">
        <is>
          <t>LTV — part financée par la banque</t>
        </is>
      </c>
      <c r="B56" s="25">
        <f>IFERROR(B38/B26,"")</f>
        <v/>
      </c>
      <c r="C56" s="18" t="inlineStr">
        <is>
          <t>≤ 80 % est la zone de confort bancaire</t>
        </is>
      </c>
    </row>
    <row r="57">
      <c r="A57" s="14" t="inlineStr">
        <is>
          <t>Effort d'épargne mensuel si négatif</t>
        </is>
      </c>
      <c r="B57" s="23">
        <f>MAX(0,-B49/12)</f>
        <v/>
      </c>
    </row>
    <row r="58">
      <c r="A58" s="14" t="inlineStr">
        <is>
          <t>Score de l'outil de veille</t>
        </is>
      </c>
      <c r="B58" s="15" t="inlineStr">
        <is>
          <t>69/100</t>
        </is>
      </c>
      <c r="C58" s="18" t="inlineStr">
        <is>
          <t>rendement, emplacement, prix vs marché, financement, fiscalité</t>
        </is>
      </c>
    </row>
  </sheetData>
  <mergeCells count="11">
    <mergeCell ref="A4:B4"/>
    <mergeCell ref="A25:C25"/>
    <mergeCell ref="A42:C42"/>
    <mergeCell ref="A1:C1"/>
    <mergeCell ref="A3:C3"/>
    <mergeCell ref="A13:C14"/>
    <mergeCell ref="A35:C35"/>
    <mergeCell ref="A15:C15"/>
    <mergeCell ref="A7:C7"/>
    <mergeCell ref="A2:C2"/>
    <mergeCell ref="A52:C52"/>
  </mergeCells>
  <conditionalFormatting sqref="B49">
    <cfRule type="cellIs" priority="1" operator="greaterThanOrEqual" dxfId="0">
      <formula>0</formula>
    </cfRule>
    <cfRule type="cellIs" priority="2" operator="lessThan" dxfId="1">
      <formula>0</formula>
    </cfRule>
  </conditionalFormatting>
  <conditionalFormatting sqref="B50">
    <cfRule type="cellIs" priority="3" operator="greaterThanOrEqual" dxfId="0">
      <formula>0</formula>
    </cfRule>
    <cfRule type="cellIs" priority="4" operator="lessThan" dxfId="1">
      <formula>0</formula>
    </cfRule>
  </conditionalFormatting>
  <conditionalFormatting sqref="B55">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'Synthèse'!B30</f>
        <v/>
      </c>
    </row>
    <row r="2">
      <c r="A2" t="n">
        <v>1</v>
      </c>
      <c r="B2" s="8">
        <f>IF(A2&lt;=$G$1,'Synthèse'!$B$38,"")</f>
        <v/>
      </c>
      <c r="C2" s="8">
        <f>IF(A2&lt;=$G$1,B2*$G$2,"")</f>
        <v/>
      </c>
      <c r="D2" s="8">
        <f>IF(A2&lt;=$G$1,MIN(B2,$G$3-C2),"")</f>
        <v/>
      </c>
      <c r="E2" s="8">
        <f>IF(A2&lt;=$G$1,MAX(0,B2-D2),"")</f>
        <v/>
      </c>
      <c r="F2" s="6" t="inlineStr">
        <is>
          <t>Tableau indicatif (pas annuel) — l'offre de prêt de la banque fait foi.</t>
        </is>
      </c>
      <c r="G2">
        <f>'Synthèse'!B29</f>
        <v/>
      </c>
    </row>
    <row r="3">
      <c r="A3" t="n">
        <v>2</v>
      </c>
      <c r="B3" s="8">
        <f>IF(A3&lt;=$G$1,E2,"")</f>
        <v/>
      </c>
      <c r="C3" s="8">
        <f>IF(A3&lt;=$G$1,B3*$G$2,"")</f>
        <v/>
      </c>
      <c r="D3" s="8">
        <f>IF(A3&lt;=$G$1,MIN(B3,$G$3-C3),"")</f>
        <v/>
      </c>
      <c r="E3" s="8">
        <f>IF(A3&lt;=$G$1,MAX(0,B3-D3),"")</f>
        <v/>
      </c>
      <c r="G3">
        <f>'Synthèse'!B40</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Local commercial Paris 11e - Rue Saint-Maur</t>
        </is>
      </c>
    </row>
    <row r="2">
      <c r="A2" s="28" t="inlineStr">
        <is>
          <t>Lien</t>
        </is>
      </c>
      <c r="B2" s="30" t="inlineStr">
        <is>
          <t>https://www.geolocaux.com/annonce/local-commercial-paris-11e-rue-saint-maur-693494.html</t>
        </is>
      </c>
    </row>
    <row r="3">
      <c r="A3" s="28" t="inlineStr">
        <is>
          <t>Ville</t>
        </is>
      </c>
      <c r="B3" s="29" t="inlineStr">
        <is>
          <t>Paris 11e (75011)</t>
        </is>
      </c>
    </row>
    <row r="4">
      <c r="A4" s="28" t="inlineStr">
        <is>
          <t>Source</t>
        </is>
      </c>
      <c r="B4" s="29" t="inlineStr">
        <is>
          <t>geolocaux</t>
        </is>
      </c>
    </row>
    <row r="5">
      <c r="A5" s="28" t="inlineStr">
        <is>
          <t>Première détection</t>
        </is>
      </c>
      <c r="B5" s="29" t="inlineStr">
        <is>
          <t>2026-07-06</t>
        </is>
      </c>
    </row>
    <row r="6">
      <c r="A6" s="28" t="inlineStr">
        <is>
          <t>Type</t>
        </is>
      </c>
      <c r="B6" s="29" t="inlineStr">
        <is>
          <t>Murs occupés</t>
        </is>
      </c>
    </row>
    <row r="7">
      <c r="A7" s="28" t="inlineStr">
        <is>
          <t>Caractéristiques</t>
        </is>
      </c>
      <c r="B7" s="29" t="inlineStr">
        <is>
          <t>—</t>
        </is>
      </c>
    </row>
    <row r="8">
      <c r="A8" s="28" t="inlineStr">
        <is>
          <t>Évolution du prix</t>
        </is>
      </c>
      <c r="B8" s="29" t="inlineStr">
        <is>
          <t>200 000 € (06/07) → 190 000 € (23/09) → 200 000 € (03/10)  —  +0.0 % depuis la première vue</t>
        </is>
      </c>
    </row>
    <row r="9">
      <c r="A9" s="28" t="inlineStr">
        <is>
          <t>Fourchette de marché</t>
        </is>
      </c>
      <c r="B9" s="29" t="inlineStr">
        <is>
          <t>572 ventes réelles 2023-2025 (DVF)</t>
        </is>
      </c>
    </row>
    <row r="10">
      <c r="A10" s="28" t="inlineStr">
        <is>
          <t>Lecture du prix</t>
        </is>
      </c>
      <c r="B10" s="29" t="inlineStr">
        <is>
          <t>Prix cohérent avec le marché local.</t>
        </is>
      </c>
    </row>
    <row r="11">
      <c r="A11" s="28" t="inlineStr">
        <is>
          <t>Alertes</t>
        </is>
      </c>
      <c r="B11" s="29" t="inlineStr">
        <is>
          <t>aucune</t>
        </is>
      </c>
    </row>
    <row r="12" ht="110" customHeight="1">
      <c r="A12" s="28" t="inlineStr">
        <is>
          <t>Description</t>
        </is>
      </c>
      <c r="B12" s="29" t="inlineStr">
        <is>
          <t>Bercail Immobilier vous propose ce local commercial de 23 m², idéalement situé dans le 11e arrondissement de Paris, dans un quartier vivant et commerçant. Pensé pour un commerce de proximité, concept store ou bureau de consultation, ce rez-de-chaussée offre une belle visibilité sur rue, un agencement optimisé en open space et des sanitaires privatifs. Vous profiterez de la diversité des restaurants, cafés et boutiques du secteur, ainsi que d'un accès rapide aux transports : métro Voltaire (ligne 9) à environ 300 m et Bastille à 750 m, facilitant l'accueil de la clientèle et la desserte pour la livraison. Proche aussi des espaces verts et d'une offre culturelle dynamique, ce local séduit par son emplacement stratégique au cœur d'un arrondissement recherché. Informations financières : taxe foncière 480 € par an. Charges de copropriété : 150 € par trimestre (soit 50 € / mois). Local vendu loué (950 € / mois). Opportunité intéressante pour investisseur recherchant un rendement locatif stable. Atouts : surface optimisable, faible charges, emplacement central et accessibilité. Rareté sur le marché des petites surfaces commerciales parisiennes. Montant estimé des dépenses annuelles d'énergie pour un usage standard : entre 600 € et 1200 € par an. Prix moyens des énergies indexés sur l'année 2021 (abonnements compris).</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2026-10-14T10:28:17Z</dcterms:created>
  <dcterms:modified xsi:type="dcterms:W3CDTF">2026-10-14T10:28:17Z</dcterms:modified>
</cp:coreProperties>
</file>