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'Synthèse'!$A$1:$C$61</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4">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b val="1"/>
      <color rgb="0098351B"/>
      <sz val="10"/>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2">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9" fillId="0" borderId="1" pivotButton="0" quotePrefix="0" xfId="0"/>
    <xf numFmtId="165" fontId="10" fillId="0" borderId="1" pivotButton="0" quotePrefix="0" xfId="0"/>
    <xf numFmtId="168" fontId="10" fillId="0" borderId="1" pivotButton="0" quotePrefix="0" xfId="0"/>
    <xf numFmtId="2" fontId="10" fillId="0" borderId="1" pivotButton="0" quotePrefix="0" xfId="0"/>
    <xf numFmtId="0" fontId="11"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165" fontId="7" fillId="4" borderId="1" pivotButton="0" quotePrefix="0" xfId="0"/>
    <xf numFmtId="0" fontId="5" fillId="0" borderId="0" applyAlignment="1" pivotButton="0" quotePrefix="0" xfId="0">
      <alignment vertical="center" wrapText="1"/>
    </xf>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8" fillId="0" borderId="0" applyAlignment="1" pivotButton="0" quotePrefix="0" xfId="0">
      <alignment vertical="top" wrapText="1"/>
    </xf>
    <xf numFmtId="0" fontId="6" fillId="2" borderId="0" applyAlignment="1" pivotButton="0" quotePrefix="0" xfId="0">
      <alignment vertical="center" wrapText="1"/>
    </xf>
    <xf numFmtId="0" fontId="12" fillId="0" borderId="0" pivotButton="0" quotePrefix="0" xfId="0"/>
    <xf numFmtId="0" fontId="0" fillId="0" borderId="0" applyAlignment="1" pivotButton="0" quotePrefix="0" xfId="0">
      <alignment vertical="top" wrapText="1"/>
    </xf>
    <xf numFmtId="0" fontId="13"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eloger-bureaux-commerces.com/annonce/detail/direct/282344709"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seloger-bureaux-commerces.com/annonce/detail/direct/282344709" TargetMode="External" Id="rId1" /></Relationships>
</file>

<file path=xl/worksheets/sheet1.xml><?xml version="1.0" encoding="utf-8"?>
<worksheet xmlns="http://schemas.openxmlformats.org/spreadsheetml/2006/main">
  <sheetPr>
    <outlinePr summaryBelow="1" summaryRight="1"/>
    <pageSetUpPr fitToPage="1"/>
  </sheetPr>
  <dimension ref="A1:F60"/>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1 nouvelle annonce dans votre zone personnalisée : Paris</t>
        </is>
      </c>
    </row>
    <row r="4">
      <c r="A4" s="4" t="inlineStr">
        <is>
          <t>Local commercial 81 m² Paris 11ème (75011) — annonce alerte_seloger_bureaux du 2026-10-14</t>
        </is>
      </c>
      <c r="C4" s="5" t="inlineStr">
        <is>
          <t>Voir l'annonce en ligne ↗</t>
        </is>
      </c>
    </row>
    <row r="5">
      <c r="A5" s="6" t="inlineStr">
        <is>
          <t>Dossier généré le 16/10/2026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B25</f>
        <v/>
      </c>
      <c r="E8" s="6" t="inlineStr">
        <is>
          <t>Crédit + charges / mois</t>
        </is>
      </c>
      <c r="F8" s="8">
        <f>B38-(B43+B44+B45)/12</f>
        <v/>
      </c>
    </row>
    <row r="9">
      <c r="A9" s="9" t="inlineStr">
        <is>
          <t>Apport nécessaire</t>
        </is>
      </c>
      <c r="B9" s="10">
        <f>B36</f>
        <v/>
      </c>
      <c r="E9" s="6" t="inlineStr">
        <is>
          <t>Cash-flow</t>
        </is>
      </c>
      <c r="F9" s="8">
        <f>B49</f>
        <v/>
      </c>
    </row>
    <row r="10">
      <c r="A10" s="9" t="inlineStr">
        <is>
          <t>Mensualité de crédit estimée</t>
        </is>
      </c>
      <c r="B10" s="11">
        <f>B38</f>
        <v/>
      </c>
    </row>
    <row r="11">
      <c r="A11" s="9" t="inlineStr">
        <is>
          <t>Cash-flow mensuel attendu</t>
        </is>
      </c>
      <c r="B11" s="11">
        <f>B49</f>
        <v/>
      </c>
    </row>
    <row r="12">
      <c r="A12" s="9" t="inlineStr">
        <is>
          <t>DSCR (≥ 1,20 rassure)</t>
        </is>
      </c>
      <c r="B12" s="12">
        <f>B54</f>
        <v/>
      </c>
    </row>
    <row r="13">
      <c r="A13" s="13" t="inlineStr">
        <is>
          <t>EN CLAIR — Sur la base d'un loyer ESTIMÉ (pas de bail signé à ce stade) : aux hypothèses de ce dossier (apport 20 %, crédit 5,34 % sur 20 ans, charges provisionnées), le bien s'autofinance : le loyer couvre crédit et charges et laisse environ +537 €/mois.</t>
        </is>
      </c>
    </row>
    <row r="14"/>
    <row r="15" ht="18" customHeight="1">
      <c r="A15" s="7" t="inlineStr">
        <is>
          <t>LE BIEN</t>
        </is>
      </c>
    </row>
    <row r="16">
      <c r="A16" s="14" t="inlineStr">
        <is>
          <t>État locatif</t>
        </is>
      </c>
      <c r="B16" s="15" t="inlineStr">
        <is>
          <t>Murs libres — local à louer après l'achat</t>
        </is>
      </c>
    </row>
    <row r="17">
      <c r="A17" s="14" t="inlineStr">
        <is>
          <t>Surface</t>
        </is>
      </c>
      <c r="B17" s="16" t="n">
        <v>81</v>
      </c>
    </row>
    <row r="18">
      <c r="A18" s="14" t="inlineStr">
        <is>
          <t>Prix affiché</t>
        </is>
      </c>
      <c r="B18" s="17" t="n">
        <v>299000</v>
      </c>
    </row>
    <row r="19">
      <c r="A19" s="14" t="inlineStr">
        <is>
          <t>Prix au m²</t>
        </is>
      </c>
      <c r="B19" s="17">
        <f>IFERROR(B18/B17,"")</f>
        <v/>
      </c>
    </row>
    <row r="20">
      <c r="A20" s="14" t="inlineStr">
        <is>
          <t>Loyer mensuel HT</t>
        </is>
      </c>
      <c r="B20" s="18" t="n">
        <v>2671.65</v>
      </c>
      <c r="C20" s="19" t="inlineStr">
        <is>
          <t>ESTIMATION au loyer de marché local — aucun bail ne le garantit</t>
        </is>
      </c>
    </row>
    <row r="21">
      <c r="A21" s="14" t="inlineStr">
        <is>
          <t>Marché local (prix/m²)</t>
        </is>
      </c>
      <c r="B21" s="15" t="inlineStr">
        <is>
          <t>4 468 à 9 878 €/m²</t>
        </is>
      </c>
      <c r="C21" s="19" t="inlineStr">
        <is>
          <t>ce bien est 48 % SOUS la médiane locale</t>
        </is>
      </c>
    </row>
    <row r="22">
      <c r="A22" s="14" t="inlineStr">
        <is>
          <t>Source de la fourchette</t>
        </is>
      </c>
      <c r="B22" s="15" t="inlineStr">
        <is>
          <t>572 ventes réelles 2023-2025 (DVF)</t>
        </is>
      </c>
      <c r="C22" s="19" t="inlineStr">
        <is>
          <t>DVF = prix réellement payés, enregistrés chez le notaire (data.gouv.fr)</t>
        </is>
      </c>
    </row>
    <row r="24" ht="18" customHeight="1">
      <c r="A24" s="7" t="inlineStr">
        <is>
          <t>HYPOTHÈSES — cellules jaunes à ajuster avec votre conseiller</t>
        </is>
      </c>
    </row>
    <row r="25">
      <c r="A25" s="14" t="inlineStr">
        <is>
          <t>Prix négocié retenu</t>
        </is>
      </c>
      <c r="B25" s="18" t="n">
        <v>299000</v>
      </c>
      <c r="C25" s="19" t="inlineStr">
        <is>
          <t>par défaut le prix affiché — un prix demandé se négocie</t>
        </is>
      </c>
    </row>
    <row r="26">
      <c r="A26" s="14" t="inlineStr">
        <is>
          <t>Frais d'acquisition (notaire, garanties)</t>
        </is>
      </c>
      <c r="B26" s="20" t="n">
        <v>0.08</v>
      </c>
    </row>
    <row r="27">
      <c r="A27" s="14" t="inlineStr">
        <is>
          <t>Apport personnel</t>
        </is>
      </c>
      <c r="B27" s="20" t="n">
        <v>0.2</v>
      </c>
    </row>
    <row r="28">
      <c r="A28" s="14" t="inlineStr">
        <is>
          <t>Taux du crédit (hors assurance)</t>
        </is>
      </c>
      <c r="B28" s="20" t="n">
        <v>0.0534</v>
      </c>
    </row>
    <row r="29">
      <c r="A29" s="14" t="inlineStr">
        <is>
          <t>Durée du crédit (années)</t>
        </is>
      </c>
      <c r="B29" s="21" t="n">
        <v>20</v>
      </c>
    </row>
    <row r="30">
      <c r="A30" s="14" t="inlineStr">
        <is>
          <t>Taxe foncière (en mois de loyer par an)</t>
        </is>
      </c>
      <c r="B30" s="22" t="n">
        <v>1</v>
      </c>
      <c r="C30" s="19" t="inlineStr">
        <is>
          <t>à remplacer par le montant réel dès que connu</t>
        </is>
      </c>
    </row>
    <row r="31">
      <c r="A31" s="14" t="inlineStr">
        <is>
          <t>Provision entretien &amp; vacance (% du loyer)</t>
        </is>
      </c>
      <c r="B31" s="20" t="n">
        <v>0.05</v>
      </c>
    </row>
    <row r="32">
      <c r="A32" s="14" t="inlineStr">
        <is>
          <t>Assurance propriétaire (PNO, €/an)</t>
        </is>
      </c>
      <c r="B32" s="18" t="n">
        <v>300</v>
      </c>
    </row>
    <row r="34" ht="18" customHeight="1">
      <c r="A34" s="7" t="inlineStr">
        <is>
          <t>PLAN DE FINANCEMENT</t>
        </is>
      </c>
    </row>
    <row r="35">
      <c r="A35" s="14" t="inlineStr">
        <is>
          <t>Coût d'acquisition total</t>
        </is>
      </c>
      <c r="B35" s="17">
        <f>B25*(1+B26)</f>
        <v/>
      </c>
      <c r="C35" s="19" t="inlineStr">
        <is>
          <t>prix négocié + frais d'acquisition</t>
        </is>
      </c>
    </row>
    <row r="36">
      <c r="A36" s="14" t="inlineStr">
        <is>
          <t>Apport personnel</t>
        </is>
      </c>
      <c r="B36" s="17">
        <f>B35*B27</f>
        <v/>
      </c>
    </row>
    <row r="37">
      <c r="A37" s="14" t="inlineStr">
        <is>
          <t>Montant emprunté</t>
        </is>
      </c>
      <c r="B37" s="17">
        <f>B35-B36</f>
        <v/>
      </c>
    </row>
    <row r="38">
      <c r="A38" s="14" t="inlineStr">
        <is>
          <t>Mensualité du crédit</t>
        </is>
      </c>
      <c r="B38" s="23">
        <f>IFERROR(-PMT(B28/12,B29*12,B37),0)</f>
        <v/>
      </c>
    </row>
    <row r="39">
      <c r="A39" s="14" t="inlineStr">
        <is>
          <t>Service de la dette (annuel)</t>
        </is>
      </c>
      <c r="B39" s="17">
        <f>B38*12</f>
        <v/>
      </c>
    </row>
    <row r="41" ht="18" customHeight="1">
      <c r="A41" s="7" t="inlineStr">
        <is>
          <t>EXPLOITATION ANNUELLE</t>
        </is>
      </c>
    </row>
    <row r="42">
      <c r="A42" s="14" t="inlineStr">
        <is>
          <t>Loyers annuels HT</t>
        </is>
      </c>
      <c r="B42" s="17">
        <f>IFERROR(B20*12,0)</f>
        <v/>
      </c>
    </row>
    <row r="43">
      <c r="A43" s="14" t="inlineStr">
        <is>
          <t>− Taxe foncière</t>
        </is>
      </c>
      <c r="B43" s="17">
        <f>-IFERROR(B20*B30,0)</f>
        <v/>
      </c>
    </row>
    <row r="44">
      <c r="A44" s="14" t="inlineStr">
        <is>
          <t>− Entretien &amp; vacance locative</t>
        </is>
      </c>
      <c r="B44" s="17">
        <f>-B42*B31</f>
        <v/>
      </c>
    </row>
    <row r="45">
      <c r="A45" s="14" t="inlineStr">
        <is>
          <t>− Assurance PNO</t>
        </is>
      </c>
      <c r="B45" s="17">
        <f>-B32</f>
        <v/>
      </c>
    </row>
    <row r="46">
      <c r="A46" s="14" t="inlineStr">
        <is>
          <t>Revenu net avant crédit</t>
        </is>
      </c>
      <c r="B46" s="17">
        <f>B42+B43+B44+B45</f>
        <v/>
      </c>
    </row>
    <row r="47">
      <c r="A47" s="14" t="inlineStr">
        <is>
          <t>− Remboursement du crédit</t>
        </is>
      </c>
      <c r="B47" s="17">
        <f>-B39</f>
        <v/>
      </c>
    </row>
    <row r="48">
      <c r="A48" s="14" t="inlineStr">
        <is>
          <t>Cash-flow annuel</t>
        </is>
      </c>
      <c r="B48" s="17">
        <f>B46-B39</f>
        <v/>
      </c>
    </row>
    <row r="49">
      <c r="A49" s="14" t="inlineStr">
        <is>
          <t>Cash-flow mensuel</t>
        </is>
      </c>
      <c r="B49" s="24">
        <f>B48/12</f>
        <v/>
      </c>
      <c r="C49" s="19" t="inlineStr">
        <is>
          <t>positif : le bien se paie tout seul, loyer ≥ crédit + charges</t>
        </is>
      </c>
    </row>
    <row r="51" ht="18" customHeight="1">
      <c r="A51" s="7" t="inlineStr">
        <is>
          <t>LES RATIOS QUE REGARDE LE BANQUIER</t>
        </is>
      </c>
    </row>
    <row r="52">
      <c r="A52" s="14" t="inlineStr">
        <is>
          <t>Rendement brut</t>
        </is>
      </c>
      <c r="B52" s="25">
        <f>IFERROR(B42/B25,"")</f>
        <v/>
      </c>
      <c r="C52" s="19" t="inlineStr">
        <is>
          <t>loyer annuel ÷ prix — la base de comparaison des biens</t>
        </is>
      </c>
    </row>
    <row r="53">
      <c r="A53" s="14" t="inlineStr">
        <is>
          <t>Rendement net avant crédit</t>
        </is>
      </c>
      <c r="B53" s="25">
        <f>IFERROR(B46/B35,"")</f>
        <v/>
      </c>
      <c r="C53" s="19" t="inlineStr">
        <is>
          <t>après taxe foncière, entretien et assurance</t>
        </is>
      </c>
    </row>
    <row r="54">
      <c r="A54" s="14" t="inlineStr">
        <is>
          <t>DSCR — couverture de la dette</t>
        </is>
      </c>
      <c r="B54" s="26">
        <f>IFERROR(B46/B39,"")</f>
        <v/>
      </c>
      <c r="C54" s="19" t="inlineStr">
        <is>
          <t>revenu net ÷ crédit : ≥ 1,20 rassure une banque</t>
        </is>
      </c>
    </row>
    <row r="55">
      <c r="A55" s="14" t="inlineStr">
        <is>
          <t>LTV — part financée par la banque</t>
        </is>
      </c>
      <c r="B55" s="25">
        <f>IFERROR(B37/B25,"")</f>
        <v/>
      </c>
      <c r="C55" s="19" t="inlineStr">
        <is>
          <t>≤ 80 % est la zone de confort bancaire</t>
        </is>
      </c>
    </row>
    <row r="56">
      <c r="A56" s="14" t="inlineStr">
        <is>
          <t>Effort d'épargne mensuel si négatif</t>
        </is>
      </c>
      <c r="B56" s="23">
        <f>MAX(0,-B48/12)</f>
        <v/>
      </c>
    </row>
    <row r="57">
      <c r="A57" s="14" t="inlineStr">
        <is>
          <t>Score de l'outil de veille</t>
        </is>
      </c>
      <c r="B57" s="15" t="inlineStr">
        <is>
          <t>64/100</t>
        </is>
      </c>
      <c r="C57" s="19" t="inlineStr">
        <is>
          <t>rendement, emplacement, prix vs marché, financement, fiscalité</t>
        </is>
      </c>
    </row>
    <row r="59">
      <c r="A59" s="27" t="inlineStr">
        <is>
          <t>⚠ AVERTISSEMENT : le rendement affiché par le vendeur est anormalement élevé. Exiger le bail et les quittances avant toute offre — ce dossier reprend le loyer annoncé tel quel.</t>
        </is>
      </c>
    </row>
    <row r="60"/>
  </sheetData>
  <mergeCells count="12">
    <mergeCell ref="A4:B4"/>
    <mergeCell ref="A41:C41"/>
    <mergeCell ref="A1:C1"/>
    <mergeCell ref="A59:C60"/>
    <mergeCell ref="A3:C3"/>
    <mergeCell ref="A13:C14"/>
    <mergeCell ref="A34:C34"/>
    <mergeCell ref="A15:C15"/>
    <mergeCell ref="A7:C7"/>
    <mergeCell ref="A24:C24"/>
    <mergeCell ref="A2:C2"/>
    <mergeCell ref="A51:C51"/>
  </mergeCells>
  <conditionalFormatting sqref="B48">
    <cfRule type="cellIs" priority="1" operator="greaterThanOrEqual" dxfId="0">
      <formula>0</formula>
    </cfRule>
    <cfRule type="cellIs" priority="2" operator="lessThan" dxfId="1">
      <formula>0</formula>
    </cfRule>
  </conditionalFormatting>
  <conditionalFormatting sqref="B49">
    <cfRule type="cellIs" priority="3" operator="greaterThanOrEqual" dxfId="0">
      <formula>0</formula>
    </cfRule>
    <cfRule type="cellIs" priority="4" operator="lessThan" dxfId="1">
      <formula>0</formula>
    </cfRule>
  </conditionalFormatting>
  <conditionalFormatting sqref="B54">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8" t="inlineStr">
        <is>
          <t>Année</t>
        </is>
      </c>
      <c r="B1" s="28" t="inlineStr">
        <is>
          <t>Capital dû en début d'année</t>
        </is>
      </c>
      <c r="C1" s="28" t="inlineStr">
        <is>
          <t>Intérêts de l'année</t>
        </is>
      </c>
      <c r="D1" s="28" t="inlineStr">
        <is>
          <t>Capital remboursé</t>
        </is>
      </c>
      <c r="E1" s="28" t="inlineStr">
        <is>
          <t>Capital restant dû</t>
        </is>
      </c>
      <c r="G1">
        <f>'Synthèse'!B29</f>
        <v/>
      </c>
    </row>
    <row r="2">
      <c r="A2" t="n">
        <v>1</v>
      </c>
      <c r="B2" s="8">
        <f>IF(A2&lt;=$G$1,'Synthèse'!$B$37,"")</f>
        <v/>
      </c>
      <c r="C2" s="8">
        <f>IF(A2&lt;=$G$1,B2*$G$2,"")</f>
        <v/>
      </c>
      <c r="D2" s="8">
        <f>IF(A2&lt;=$G$1,MIN(B2,$G$3-C2),"")</f>
        <v/>
      </c>
      <c r="E2" s="8">
        <f>IF(A2&lt;=$G$1,MAX(0,B2-D2),"")</f>
        <v/>
      </c>
      <c r="F2" s="6" t="inlineStr">
        <is>
          <t>Tableau indicatif (pas annuel) — l'offre de prêt de la banque fait foi.</t>
        </is>
      </c>
      <c r="G2">
        <f>'Synthèse'!B28</f>
        <v/>
      </c>
    </row>
    <row r="3">
      <c r="A3" t="n">
        <v>2</v>
      </c>
      <c r="B3" s="8">
        <f>IF(A3&lt;=$G$1,E2,"")</f>
        <v/>
      </c>
      <c r="C3" s="8">
        <f>IF(A3&lt;=$G$1,B3*$G$2,"")</f>
        <v/>
      </c>
      <c r="D3" s="8">
        <f>IF(A3&lt;=$G$1,MIN(B3,$G$3-C3),"")</f>
        <v/>
      </c>
      <c r="E3" s="8">
        <f>IF(A3&lt;=$G$1,MAX(0,B3-D3),"")</f>
        <v/>
      </c>
      <c r="G3">
        <f>'Synthèse'!B39</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9" t="inlineStr">
        <is>
          <t>Titre</t>
        </is>
      </c>
      <c r="B1" s="30" t="inlineStr">
        <is>
          <t>1 nouvelle annonce dans votre zone personnalisée : Paris</t>
        </is>
      </c>
    </row>
    <row r="2">
      <c r="A2" s="29" t="inlineStr">
        <is>
          <t>Lien</t>
        </is>
      </c>
      <c r="B2" s="31" t="inlineStr">
        <is>
          <t>https://www.seloger-bureaux-commerces.com/annonce/detail/direct/282344709</t>
        </is>
      </c>
    </row>
    <row r="3">
      <c r="A3" s="29" t="inlineStr">
        <is>
          <t>Ville</t>
        </is>
      </c>
      <c r="B3" s="30" t="inlineStr">
        <is>
          <t>Local commercial 81 m² Paris 11ème (75011)</t>
        </is>
      </c>
    </row>
    <row r="4">
      <c r="A4" s="29" t="inlineStr">
        <is>
          <t>Source</t>
        </is>
      </c>
      <c r="B4" s="30" t="inlineStr">
        <is>
          <t>alerte_seloger_bureaux</t>
        </is>
      </c>
    </row>
    <row r="5">
      <c r="A5" s="29" t="inlineStr">
        <is>
          <t>Première détection</t>
        </is>
      </c>
      <c r="B5" s="30" t="inlineStr">
        <is>
          <t>2026-10-14</t>
        </is>
      </c>
    </row>
    <row r="6">
      <c r="A6" s="29" t="inlineStr">
        <is>
          <t>Type</t>
        </is>
      </c>
      <c r="B6" s="30" t="inlineStr">
        <is>
          <t>Murs libres</t>
        </is>
      </c>
    </row>
    <row r="7">
      <c r="A7" s="29" t="inlineStr">
        <is>
          <t>Caractéristiques</t>
        </is>
      </c>
      <c r="B7" s="30" t="inlineStr">
        <is>
          <t>Extraction / vraie restauration possible</t>
        </is>
      </c>
    </row>
    <row r="8">
      <c r="A8" s="29" t="inlineStr">
        <is>
          <t>Évolution du prix</t>
        </is>
      </c>
      <c r="B8" s="30" t="inlineStr">
        <is>
          <t>stable depuis la première vue</t>
        </is>
      </c>
    </row>
    <row r="9">
      <c r="A9" s="29" t="inlineStr">
        <is>
          <t>Fourchette de marché</t>
        </is>
      </c>
      <c r="B9" s="30" t="inlineStr">
        <is>
          <t>572 ventes réelles 2023-2025 (DVF)</t>
        </is>
      </c>
    </row>
    <row r="10">
      <c r="A10" s="29" t="inlineStr">
        <is>
          <t>Lecture du prix</t>
        </is>
      </c>
      <c r="B10" s="30" t="inlineStr">
        <is>
          <t>Décote lisible : des travaux sont signalés dans l'annonce.</t>
        </is>
      </c>
    </row>
    <row r="11">
      <c r="A11" s="29" t="inlineStr">
        <is>
          <t>Alertes</t>
        </is>
      </c>
      <c r="B11" s="30" t="inlineStr">
        <is>
          <t>localisation_incoherente · loyer_estime · rendement_anormalement_eleve</t>
        </is>
      </c>
    </row>
    <row r="12" ht="110" customHeight="1">
      <c r="A12" s="29" t="inlineStr">
        <is>
          <t>Description</t>
        </is>
      </c>
      <c r="B12" s="30" t="inlineStr">
        <is>
          <t>À vendre : une opportunité rare au coeur de Paris pour les entrepreneurs et investisseurs à la recherche d'un espace commercial unique. Situé dans un quartier dynamique et prisé de la capitale, ce local commercial offre un potentiel exceptionnel pour ceux qui souhaitent s'implanter dans l'une des villes les plus attractives du monde. Anciennement un bar, ce bien conserve le charme et l'authenticité des établissements parisiens traditionnels, tout en offrant la possibilité de le transformer selon vos besoins et aspirations. Le local, à rénover, se compose d'un plateau principal de 40 m² en rez-de-chaussée, idéal pour accueillir votre activité commerciale, qu'il s'agisse d'une boutique, d'un café ou d'un espace de coworking. Le sous-sol, d'une superficie de 41 m², était autrefois la cave de l'immeuble et est accessible à la fois par les parties communes et directement depuis le local, offrant ainsi une flexibilité d'aménagement supplémentaire. Bien que le local ne dispose pas d'une extraction, il reste parfaitement adapté pour de nombreuses activités commerciales qui ne nécessitent pas cette installation spécifique. L'absence d'extraction peut également être vue comme une opportunité de se démarquer en proposant un concept innovant qui s'intègre harmonieusement dans le tissu urbain environnant. La localisation centrale de ce bien est un atout majeur, bénéficiant d'une forte visibilité et d'un passage piétonnier important, ce qui est idéal pour attirer une clientèle variée et nombreuse. De plus, la proximité des transports en commun facilite l'accès pour vos clients et collaborateurs. Ce local est une toile vierge qui n'attend que votre vision pour prendre vie. Que vous soyez un restaurateur souhaitant créer un espace convivial et chaleureux, un détaillant cherchant à établir une boutique tendance, ou un entrepreneur en quête d'un lieu inspirant pour développer votre activité, ce bien offre une multitude de possibilités. Ne manquez pas cette chance de devenir propriéta</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2026-10-16T17:40:20Z</dcterms:created>
  <dcterms:modified xsi:type="dcterms:W3CDTF">2026-10-16T17:40:20Z</dcterms:modified>
</cp:coreProperties>
</file>