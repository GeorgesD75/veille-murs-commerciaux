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'Synthèse'!$A$1:$C$62</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proximite-rue-cler--42423111"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proximite-rue-cler--42423111" TargetMode="External" Id="rId1" /></Relationships>
</file>

<file path=xl/worksheets/sheet1.xml><?xml version="1.0" encoding="utf-8"?>
<worksheet xmlns="http://schemas.openxmlformats.org/spreadsheetml/2006/main">
  <sheetPr>
    <outlinePr summaryBelow="1" summaryRight="1"/>
    <pageSetUpPr fitToPage="1"/>
  </sheetPr>
  <dimension ref="A1:F61"/>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Proximité rue Cler</t>
        </is>
      </c>
    </row>
    <row r="4">
      <c r="A4" s="4" t="inlineStr">
        <is>
          <t>Paris (75007) — annonce bureauxlocaux du 2026-10-01</t>
        </is>
      </c>
      <c r="C4" s="5" t="inlineStr">
        <is>
          <t>Voir l'annonce en ligne ↗</t>
        </is>
      </c>
    </row>
    <row r="5">
      <c r="A5" s="6" t="inlineStr">
        <is>
          <t>Dossier généré le 30/10/2026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B26</f>
        <v/>
      </c>
      <c r="E8" s="6" t="inlineStr">
        <is>
          <t>Crédit + charges / mois</t>
        </is>
      </c>
      <c r="F8" s="8">
        <f>B39-(B44+B45+B46)/12</f>
        <v/>
      </c>
    </row>
    <row r="9">
      <c r="A9" s="9" t="inlineStr">
        <is>
          <t>Apport nécessaire</t>
        </is>
      </c>
      <c r="B9" s="10">
        <f>B37</f>
        <v/>
      </c>
      <c r="E9" s="6" t="inlineStr">
        <is>
          <t>Cash-flow</t>
        </is>
      </c>
      <c r="F9" s="8">
        <f>B50</f>
        <v/>
      </c>
    </row>
    <row r="10">
      <c r="A10" s="9" t="inlineStr">
        <is>
          <t>Mensualité de crédit estimée</t>
        </is>
      </c>
      <c r="B10" s="11">
        <f>B39</f>
        <v/>
      </c>
    </row>
    <row r="11">
      <c r="A11" s="9" t="inlineStr">
        <is>
          <t>Cash-flow mensuel attendu</t>
        </is>
      </c>
      <c r="B11" s="11">
        <f>B50</f>
        <v/>
      </c>
    </row>
    <row r="12">
      <c r="A12" s="9" t="inlineStr">
        <is>
          <t>DSCR (≥ 1,20 rassure)</t>
        </is>
      </c>
      <c r="B12" s="12">
        <f>B55</f>
        <v/>
      </c>
    </row>
    <row r="13">
      <c r="A13" s="13" t="inlineStr">
        <is>
          <t>EN CLAIR — Sur la base d'un loyer ESTIMÉ (pas de bail signé à ce stade) : aux hypothèses de ce dossier (apport 20 %, crédit 5,34 % sur 20 ans, charges provisionnées), le bien s'autofinance : le loyer couvre crédit et charges et laisse environ +714 €/mois.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123.93</v>
      </c>
    </row>
    <row r="18">
      <c r="A18" s="14" t="inlineStr">
        <is>
          <t>Prix affiché</t>
        </is>
      </c>
      <c r="B18" s="17" t="n">
        <v>408064</v>
      </c>
    </row>
    <row r="19">
      <c r="A19" s="14" t="inlineStr">
        <is>
          <t>Prix au m²</t>
        </is>
      </c>
      <c r="B19" s="17">
        <f>IFERROR(B18/B17,"")</f>
        <v/>
      </c>
    </row>
    <row r="20">
      <c r="A20" s="14" t="inlineStr">
        <is>
          <t>Loyer mensuel HT</t>
        </is>
      </c>
      <c r="B20" s="18" t="n">
        <v>3614.62</v>
      </c>
      <c r="C20" s="19" t="inlineStr">
        <is>
          <t>ESTIMATION au loyer de marché local — aucun bail ne le garantit</t>
        </is>
      </c>
    </row>
    <row r="21">
      <c r="A21" s="14" t="inlineStr">
        <is>
          <t>Marché local (prix/m²)</t>
        </is>
      </c>
      <c r="B21" s="15" t="inlineStr">
        <is>
          <t>7 495 à 14 288 €/m²</t>
        </is>
      </c>
      <c r="C21" s="19" t="inlineStr">
        <is>
          <t>ce bien est 69 % SOUS la médiane locale</t>
        </is>
      </c>
    </row>
    <row r="22">
      <c r="A22" s="14" t="inlineStr">
        <is>
          <t>Source de la fourchette</t>
        </is>
      </c>
      <c r="B22" s="15" t="inlineStr">
        <is>
          <t>234 ventes réelles 2023-2025 (DVF)</t>
        </is>
      </c>
      <c r="C22" s="19" t="inlineStr">
        <is>
          <t>DVF = prix réellement payés, enregistrés chez le notaire (data.gouv.fr)</t>
        </is>
      </c>
    </row>
    <row r="23">
      <c r="A23" s="14" t="inlineStr">
        <is>
          <t>Évolution du prix demandé</t>
        </is>
      </c>
      <c r="B23" s="15" t="inlineStr">
        <is>
          <t>1 100 000 € (01/10) → 408 064 € (29/10)  —  −62.9 % depuis la première vue</t>
        </is>
      </c>
      <c r="C23" s="19" t="inlineStr">
        <is>
          <t>un prix qui baisse est un levier de négociation documenté</t>
        </is>
      </c>
    </row>
    <row r="25" ht="18" customHeight="1">
      <c r="A25" s="7" t="inlineStr">
        <is>
          <t>HYPOTHÈSES — cellules jaunes à ajuster avec votre conseiller</t>
        </is>
      </c>
    </row>
    <row r="26">
      <c r="A26" s="14" t="inlineStr">
        <is>
          <t>Prix négocié retenu</t>
        </is>
      </c>
      <c r="B26" s="18" t="n">
        <v>408064</v>
      </c>
      <c r="C26" s="19" t="inlineStr">
        <is>
          <t>par défaut le prix affiché — un prix demandé se négocie</t>
        </is>
      </c>
    </row>
    <row r="27">
      <c r="A27" s="14" t="inlineStr">
        <is>
          <t>Frais d'acquisition (notaire, garanties)</t>
        </is>
      </c>
      <c r="B27" s="20" t="n">
        <v>0.08</v>
      </c>
    </row>
    <row r="28">
      <c r="A28" s="14" t="inlineStr">
        <is>
          <t>Apport personnel</t>
        </is>
      </c>
      <c r="B28" s="20" t="n">
        <v>0.2</v>
      </c>
    </row>
    <row r="29">
      <c r="A29" s="14" t="inlineStr">
        <is>
          <t>Taux du crédit (hors assurance)</t>
        </is>
      </c>
      <c r="B29" s="20" t="n">
        <v>0.0534</v>
      </c>
    </row>
    <row r="30">
      <c r="A30" s="14" t="inlineStr">
        <is>
          <t>Durée du crédit (années)</t>
        </is>
      </c>
      <c r="B30" s="21" t="n">
        <v>20</v>
      </c>
    </row>
    <row r="31">
      <c r="A31" s="14" t="inlineStr">
        <is>
          <t>Taxe foncière (en mois de loyer par an)</t>
        </is>
      </c>
      <c r="B31" s="22" t="n">
        <v>1</v>
      </c>
      <c r="C31" s="19" t="inlineStr">
        <is>
          <t>à remplacer par le montant réel dès que connu</t>
        </is>
      </c>
    </row>
    <row r="32">
      <c r="A32" s="14" t="inlineStr">
        <is>
          <t>Provision entretien &amp; vacance (% du loyer)</t>
        </is>
      </c>
      <c r="B32" s="20" t="n">
        <v>0.05</v>
      </c>
    </row>
    <row r="33">
      <c r="A33" s="14" t="inlineStr">
        <is>
          <t>Assurance propriétaire (PNO, €/an)</t>
        </is>
      </c>
      <c r="B33" s="18" t="n">
        <v>300</v>
      </c>
    </row>
    <row r="35" ht="18" customHeight="1">
      <c r="A35" s="7" t="inlineStr">
        <is>
          <t>PLAN DE FINANCEMENT</t>
        </is>
      </c>
    </row>
    <row r="36">
      <c r="A36" s="14" t="inlineStr">
        <is>
          <t>Coût d'acquisition total</t>
        </is>
      </c>
      <c r="B36" s="17">
        <f>B26*(1+B27)</f>
        <v/>
      </c>
      <c r="C36" s="19" t="inlineStr">
        <is>
          <t>prix négocié + frais d'acquisition</t>
        </is>
      </c>
    </row>
    <row r="37">
      <c r="A37" s="14" t="inlineStr">
        <is>
          <t>Apport personnel</t>
        </is>
      </c>
      <c r="B37" s="17">
        <f>B36*B28</f>
        <v/>
      </c>
    </row>
    <row r="38">
      <c r="A38" s="14" t="inlineStr">
        <is>
          <t>Montant emprunté</t>
        </is>
      </c>
      <c r="B38" s="17">
        <f>B36-B37</f>
        <v/>
      </c>
    </row>
    <row r="39">
      <c r="A39" s="14" t="inlineStr">
        <is>
          <t>Mensualité du crédit</t>
        </is>
      </c>
      <c r="B39" s="23">
        <f>IFERROR(-PMT(B29/12,B30*12,B38),0)</f>
        <v/>
      </c>
    </row>
    <row r="40">
      <c r="A40" s="14" t="inlineStr">
        <is>
          <t>Service de la dette (annuel)</t>
        </is>
      </c>
      <c r="B40" s="17">
        <f>B39*12</f>
        <v/>
      </c>
    </row>
    <row r="42" ht="18" customHeight="1">
      <c r="A42" s="7" t="inlineStr">
        <is>
          <t>EXPLOITATION ANNUELLE</t>
        </is>
      </c>
    </row>
    <row r="43">
      <c r="A43" s="14" t="inlineStr">
        <is>
          <t>Loyers annuels HT</t>
        </is>
      </c>
      <c r="B43" s="17">
        <f>IFERROR(B20*12,0)</f>
        <v/>
      </c>
    </row>
    <row r="44">
      <c r="A44" s="14" t="inlineStr">
        <is>
          <t>− Taxe foncière</t>
        </is>
      </c>
      <c r="B44" s="17">
        <f>-IFERROR(B20*B31,0)</f>
        <v/>
      </c>
    </row>
    <row r="45">
      <c r="A45" s="14" t="inlineStr">
        <is>
          <t>− Entretien &amp; vacance locative</t>
        </is>
      </c>
      <c r="B45" s="17">
        <f>-B43*B32</f>
        <v/>
      </c>
    </row>
    <row r="46">
      <c r="A46" s="14" t="inlineStr">
        <is>
          <t>− Assurance PNO</t>
        </is>
      </c>
      <c r="B46" s="17">
        <f>-B33</f>
        <v/>
      </c>
    </row>
    <row r="47">
      <c r="A47" s="14" t="inlineStr">
        <is>
          <t>Revenu net avant crédit</t>
        </is>
      </c>
      <c r="B47" s="17">
        <f>B43+B44+B45+B46</f>
        <v/>
      </c>
    </row>
    <row r="48">
      <c r="A48" s="14" t="inlineStr">
        <is>
          <t>− Remboursement du crédit</t>
        </is>
      </c>
      <c r="B48" s="17">
        <f>-B40</f>
        <v/>
      </c>
    </row>
    <row r="49">
      <c r="A49" s="14" t="inlineStr">
        <is>
          <t>Cash-flow annuel</t>
        </is>
      </c>
      <c r="B49" s="17">
        <f>B47-B40</f>
        <v/>
      </c>
    </row>
    <row r="50">
      <c r="A50" s="14" t="inlineStr">
        <is>
          <t>Cash-flow mensuel</t>
        </is>
      </c>
      <c r="B50" s="24">
        <f>B49/12</f>
        <v/>
      </c>
      <c r="C50" s="19" t="inlineStr">
        <is>
          <t>positif : le bien se paie tout seul, loyer ≥ crédit + charges</t>
        </is>
      </c>
    </row>
    <row r="52" ht="18" customHeight="1">
      <c r="A52" s="7" t="inlineStr">
        <is>
          <t>LES RATIOS QUE REGARDE LE BANQUIER</t>
        </is>
      </c>
    </row>
    <row r="53">
      <c r="A53" s="14" t="inlineStr">
        <is>
          <t>Rendement brut</t>
        </is>
      </c>
      <c r="B53" s="25">
        <f>IFERROR(B43/B26,"")</f>
        <v/>
      </c>
      <c r="C53" s="19" t="inlineStr">
        <is>
          <t>loyer annuel ÷ prix — la base de comparaison des biens</t>
        </is>
      </c>
    </row>
    <row r="54">
      <c r="A54" s="14" t="inlineStr">
        <is>
          <t>Rendement net avant crédit</t>
        </is>
      </c>
      <c r="B54" s="25">
        <f>IFERROR(B47/B36,"")</f>
        <v/>
      </c>
      <c r="C54" s="19" t="inlineStr">
        <is>
          <t>après taxe foncière, entretien et assurance</t>
        </is>
      </c>
    </row>
    <row r="55">
      <c r="A55" s="14" t="inlineStr">
        <is>
          <t>DSCR — couverture de la dette</t>
        </is>
      </c>
      <c r="B55" s="26">
        <f>IFERROR(B47/B40,"")</f>
        <v/>
      </c>
      <c r="C55" s="19" t="inlineStr">
        <is>
          <t>revenu net ÷ crédit : ≥ 1,20 rassure une banque</t>
        </is>
      </c>
    </row>
    <row r="56">
      <c r="A56" s="14" t="inlineStr">
        <is>
          <t>LTV — part financée par la banque</t>
        </is>
      </c>
      <c r="B56" s="25">
        <f>IFERROR(B38/B26,"")</f>
        <v/>
      </c>
      <c r="C56" s="19" t="inlineStr">
        <is>
          <t>≤ 80 % est la zone de confort bancaire</t>
        </is>
      </c>
    </row>
    <row r="57">
      <c r="A57" s="14" t="inlineStr">
        <is>
          <t>Effort d'épargne mensuel si négatif</t>
        </is>
      </c>
      <c r="B57" s="23">
        <f>MAX(0,-B49/12)</f>
        <v/>
      </c>
    </row>
    <row r="58">
      <c r="A58" s="14" t="inlineStr">
        <is>
          <t>Score de l'outil de veille</t>
        </is>
      </c>
      <c r="B58" s="15" t="inlineStr">
        <is>
          <t>64/100</t>
        </is>
      </c>
      <c r="C58" s="19" t="inlineStr">
        <is>
          <t>rendement, emplacement, prix vs marché, financement, fiscalité</t>
        </is>
      </c>
    </row>
    <row r="60">
      <c r="A60" s="27" t="inlineStr">
        <is>
          <t>⚠ AVERTISSEMENT : le rendement affiché par le vendeur est anormalement élevé. Exiger le bail et les quittances avant toute offre — ce dossier reprend le loyer annoncé tel quel.</t>
        </is>
      </c>
    </row>
    <row r="61"/>
  </sheetData>
  <mergeCells count="12">
    <mergeCell ref="A4:B4"/>
    <mergeCell ref="A25:C25"/>
    <mergeCell ref="A42:C42"/>
    <mergeCell ref="A1:C1"/>
    <mergeCell ref="A3:C3"/>
    <mergeCell ref="A13:C14"/>
    <mergeCell ref="A35:C35"/>
    <mergeCell ref="A60:C61"/>
    <mergeCell ref="A15:C15"/>
    <mergeCell ref="A7:C7"/>
    <mergeCell ref="A2:C2"/>
    <mergeCell ref="A52:C52"/>
  </mergeCells>
  <conditionalFormatting sqref="B49">
    <cfRule type="cellIs" priority="1" operator="greaterThanOrEqual" dxfId="0">
      <formula>0</formula>
    </cfRule>
    <cfRule type="cellIs" priority="2" operator="lessThan" dxfId="1">
      <formula>0</formula>
    </cfRule>
  </conditionalFormatting>
  <conditionalFormatting sqref="B50">
    <cfRule type="cellIs" priority="3" operator="greaterThanOrEqual" dxfId="0">
      <formula>0</formula>
    </cfRule>
    <cfRule type="cellIs" priority="4" operator="lessThan" dxfId="1">
      <formula>0</formula>
    </cfRule>
  </conditionalFormatting>
  <conditionalFormatting sqref="B55">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'Synthèse'!B30</f>
        <v/>
      </c>
    </row>
    <row r="2">
      <c r="A2" t="n">
        <v>1</v>
      </c>
      <c r="B2" s="8">
        <f>IF(A2&lt;=$G$1,'Synthèse'!$B$38,"")</f>
        <v/>
      </c>
      <c r="C2" s="8">
        <f>IF(A2&lt;=$G$1,B2*$G$2,"")</f>
        <v/>
      </c>
      <c r="D2" s="8">
        <f>IF(A2&lt;=$G$1,MIN(B2,$G$3-C2),"")</f>
        <v/>
      </c>
      <c r="E2" s="8">
        <f>IF(A2&lt;=$G$1,MAX(0,B2-D2),"")</f>
        <v/>
      </c>
      <c r="F2" s="6" t="inlineStr">
        <is>
          <t>Tableau indicatif (pas annuel) — l'offre de prêt de la banque fait foi.</t>
        </is>
      </c>
      <c r="G2">
        <f>'Synthèse'!B29</f>
        <v/>
      </c>
    </row>
    <row r="3">
      <c r="A3" t="n">
        <v>2</v>
      </c>
      <c r="B3" s="8">
        <f>IF(A3&lt;=$G$1,E2,"")</f>
        <v/>
      </c>
      <c r="C3" s="8">
        <f>IF(A3&lt;=$G$1,B3*$G$2,"")</f>
        <v/>
      </c>
      <c r="D3" s="8">
        <f>IF(A3&lt;=$G$1,MIN(B3,$G$3-C3),"")</f>
        <v/>
      </c>
      <c r="E3" s="8">
        <f>IF(A3&lt;=$G$1,MAX(0,B3-D3),"")</f>
        <v/>
      </c>
      <c r="G3">
        <f>'Synthèse'!B40</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Proximité rue Cler</t>
        </is>
      </c>
    </row>
    <row r="2">
      <c r="A2" s="29" t="inlineStr">
        <is>
          <t>Lien</t>
        </is>
      </c>
      <c r="B2" s="31" t="inlineStr">
        <is>
          <t>https://www.bureauxlocaux.com/annonce/proximite-rue-cler--42423111</t>
        </is>
      </c>
    </row>
    <row r="3">
      <c r="A3" s="29" t="inlineStr">
        <is>
          <t>Ville</t>
        </is>
      </c>
      <c r="B3" s="30" t="inlineStr">
        <is>
          <t>Paris (75007)</t>
        </is>
      </c>
    </row>
    <row r="4">
      <c r="A4" s="29" t="inlineStr">
        <is>
          <t>Source</t>
        </is>
      </c>
      <c r="B4" s="30" t="inlineStr">
        <is>
          <t>bureauxlocaux</t>
        </is>
      </c>
    </row>
    <row r="5">
      <c r="A5" s="29" t="inlineStr">
        <is>
          <t>Première détection</t>
        </is>
      </c>
      <c r="B5" s="30" t="inlineStr">
        <is>
          <t>2026-10-01</t>
        </is>
      </c>
    </row>
    <row r="6">
      <c r="A6" s="29" t="inlineStr">
        <is>
          <t>Type</t>
        </is>
      </c>
      <c r="B6" s="30" t="inlineStr">
        <is>
          <t>Murs libres</t>
        </is>
      </c>
    </row>
    <row r="7">
      <c r="A7" s="29" t="inlineStr">
        <is>
          <t>Caractéristiques</t>
        </is>
      </c>
      <c r="B7" s="30" t="inlineStr">
        <is>
          <t>Emplacement d'angle</t>
        </is>
      </c>
    </row>
    <row r="8">
      <c r="A8" s="29" t="inlineStr">
        <is>
          <t>Évolution du prix</t>
        </is>
      </c>
      <c r="B8" s="30" t="inlineStr">
        <is>
          <t>1 100 000 € (01/10) → 408 064 € (29/10)  —  −62.9 % depuis la première vue</t>
        </is>
      </c>
    </row>
    <row r="9">
      <c r="A9" s="29" t="inlineStr">
        <is>
          <t>Fourchette de marché</t>
        </is>
      </c>
      <c r="B9" s="30" t="inlineStr">
        <is>
          <t>234 ventes réelles 2023-2025 (DVF)</t>
        </is>
      </c>
    </row>
    <row r="10">
      <c r="A10" s="29" t="inlineStr">
        <is>
          <t>Lecture du prix</t>
        </is>
      </c>
      <c r="B10" s="30" t="inlineStr">
        <is>
          <t>Décote lisible : les grandes surfaces se négocient mécaniquement moins cher au m².</t>
        </is>
      </c>
    </row>
    <row r="11">
      <c r="A11" s="29" t="inlineStr">
        <is>
          <t>Alertes</t>
        </is>
      </c>
      <c r="B11" s="30" t="inlineStr">
        <is>
          <t>loyer_estime · rendement_anormalement_eleve · surface_a_ventiler · occupation_a_confirmer</t>
        </is>
      </c>
    </row>
    <row r="12" ht="110" customHeight="1">
      <c r="A12" s="29" t="inlineStr">
        <is>
          <t>Description</t>
        </is>
      </c>
      <c r="B12" s="30" t="inlineStr">
        <is>
          <t>Accès direct depuis boutique Espace annexe fonctionnel Climatisation présente Emplacement d'angle visible Climatisation installée Sanitaires privatifs GTF Immobilier vous propose en exclusivité un local commercial d'angle idéalement situé au coeur du quartier des Invalides, au croisement de l'avenue de la Motte Piquet et de la rue Duvivier. Sur 2 niveaux rez-de-chaussée et sous-sol, accessible par un escalier intérieur, 124 m2 de surface utile (loi Carrez 78 m2). Beau linéaire pour cette boutique climatisée en parfait état. Construction : Date (dernière mise à jour) : 2026-09-22 Disponibilité : Après accord Honoraires / Vente: 5 % HT du prix de vente HD À la charge de l'acquéreur Honoraires / Caract. : En sus du prix de vente Belle visibilité Boutique et arrière boutique avec sanitaires en RDC Sous-sol accessible par la boutique Climatisation Beau linéaire de façade Climatisation</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2026-10-30T19:17:27Z</dcterms:created>
  <dcterms:modified xsi:type="dcterms:W3CDTF">2026-10-30T19:17:27Z</dcterms:modified>
</cp:coreProperties>
</file>