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drawings/drawing1.xml" ContentType="application/vnd.openxmlformats-officedocument.drawing+xml"/>
  <Override PartName="/xl/worksheets/sheet2.xml" ContentType="application/vnd.openxmlformats-officedocument.spreadsheetml.worksheet+xml"/>
  <Override PartName="/xl/drawings/drawing2.xml" ContentType="application/vnd.openxmlformats-officedocument.drawing+xml"/>
  <Override PartName="/xl/worksheets/sheet3.xml" ContentType="application/vnd.openxmlformats-officedocument.spreadsheetml.worksheet+xml"/>
  <Override PartName="/xl/charts/chart1.xml" ContentType="application/vnd.openxmlformats-officedocument.drawingml.chart+xml"/>
  <Override PartName="/xl/charts/chart2.xml" ContentType="application/vnd.openxmlformats-officedocument.drawingml.char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 /><Relationship Type="http://schemas.openxmlformats.org/package/2006/relationships/metadata/core-properties" Target="docProps/core.xml" Id="rId2" /><Relationship Type="http://schemas.openxmlformats.org/officeDocument/2006/relationships/extended-properties" Target="docProps/app.xml" Id="rId3" /></Relationships>
</file>

<file path=xl/workbook.xml><?xml version="1.0" encoding="utf-8"?>
<workbook xmlns:r="http://schemas.openxmlformats.org/officeDocument/2006/relationships" xmlns="http://schemas.openxmlformats.org/spreadsheetml/2006/main">
  <workbookPr/>
  <workbookProtection/>
  <bookViews>
    <workbookView visibility="visible" minimized="0" showHorizontalScroll="1" showVerticalScroll="1" showSheetTabs="1" tabRatio="600" firstSheet="0" activeTab="0" autoFilterDateGrouping="1"/>
  </bookViews>
  <sheets>
    <sheet name="Synthèse" sheetId="1" state="visible" r:id="rId1"/>
    <sheet name="Amortissement" sheetId="2" state="visible" r:id="rId2"/>
    <sheet name="Annonce" sheetId="3" state="visible" r:id="rId3"/>
  </sheets>
  <definedNames>
    <definedName name="_xlnm.Print_Area" localSheetId="0">'Synthèse'!$A$1:$C$58</definedName>
  </definedNames>
  <calcPr calcId="124519" fullCalcOnLoad="1"/>
</workbook>
</file>

<file path=xl/styles.xml><?xml version="1.0" encoding="utf-8"?>
<styleSheet xmlns="http://schemas.openxmlformats.org/spreadsheetml/2006/main">
  <numFmts count="5">
    <numFmt numFmtId="164" formatCode="#,##0&quot; m²&quot;"/>
    <numFmt numFmtId="165" formatCode="#,##0&quot; €&quot;"/>
    <numFmt numFmtId="166" formatCode="0.0%"/>
    <numFmt numFmtId="167" formatCode="0.0"/>
    <numFmt numFmtId="168" formatCode="#,##0&quot; €/mois&quot;"/>
  </numFmts>
  <fonts count="13">
    <font>
      <name val="Calibri"/>
      <family val="2"/>
      <color theme="1"/>
      <sz val="11"/>
      <scheme val="minor"/>
    </font>
    <font>
      <name val="Calibri"/>
      <b val="1"/>
      <color rgb="00FFFFFF"/>
      <sz val="17"/>
    </font>
    <font>
      <b val="1"/>
      <sz val="13"/>
    </font>
    <font>
      <name val="Calibri"/>
      <color rgb="00404040"/>
      <sz val="11"/>
    </font>
    <font>
      <color rgb="000563C1"/>
      <sz val="10"/>
      <u val="single"/>
    </font>
    <font>
      <name val="Calibri"/>
      <i val="1"/>
      <color rgb="00808080"/>
      <sz val="9"/>
    </font>
    <font>
      <name val="Calibri"/>
      <b val="1"/>
      <color rgb="00FFFFFF"/>
      <sz val="11"/>
    </font>
    <font>
      <name val="Calibri"/>
      <b val="1"/>
      <sz val="11"/>
    </font>
    <font>
      <name val="Calibri"/>
      <b val="1"/>
      <color rgb="001D5240"/>
      <sz val="11"/>
    </font>
    <font>
      <name val="Calibri"/>
      <b val="1"/>
      <sz val="14"/>
    </font>
    <font>
      <i val="1"/>
      <sz val="10.5"/>
    </font>
    <font>
      <b val="1"/>
    </font>
    <font>
      <color rgb="000563C1"/>
      <u val="single"/>
    </font>
  </fonts>
  <fills count="5">
    <fill>
      <patternFill/>
    </fill>
    <fill>
      <patternFill patternType="gray125"/>
    </fill>
    <fill>
      <patternFill patternType="solid">
        <fgColor rgb="001D5240"/>
      </patternFill>
    </fill>
    <fill>
      <patternFill patternType="solid">
        <fgColor rgb="00D6A532"/>
      </patternFill>
    </fill>
    <fill>
      <patternFill patternType="solid">
        <fgColor rgb="00FFF2CC"/>
      </patternFill>
    </fill>
  </fills>
  <borders count="2">
    <border>
      <left/>
      <right/>
      <top/>
      <bottom/>
      <diagonal/>
    </border>
    <border>
      <bottom style="hair">
        <color rgb="00D9D9D9"/>
      </bottom>
    </border>
  </borders>
  <cellStyleXfs count="1">
    <xf numFmtId="0" fontId="0" fillId="0" borderId="0"/>
  </cellStyleXfs>
  <cellXfs count="31">
    <xf numFmtId="0" fontId="0" fillId="0" borderId="0" pivotButton="0" quotePrefix="0" xfId="0"/>
    <xf numFmtId="0" fontId="1" fillId="2" borderId="0" applyAlignment="1" pivotButton="0" quotePrefix="0" xfId="0">
      <alignment vertical="center" indent="1"/>
    </xf>
    <xf numFmtId="0" fontId="0" fillId="3" borderId="0" pivotButton="0" quotePrefix="0" xfId="0"/>
    <xf numFmtId="0" fontId="2" fillId="0" borderId="0" pivotButton="0" quotePrefix="0" xfId="0"/>
    <xf numFmtId="0" fontId="3" fillId="0" borderId="0" pivotButton="0" quotePrefix="0" xfId="0"/>
    <xf numFmtId="0" fontId="4" fillId="0" borderId="0" pivotButton="0" quotePrefix="0" xfId="0"/>
    <xf numFmtId="0" fontId="5" fillId="0" borderId="0" pivotButton="0" quotePrefix="0" xfId="0"/>
    <xf numFmtId="0" fontId="6" fillId="2" borderId="0" applyAlignment="1" pivotButton="0" quotePrefix="0" xfId="0">
      <alignment vertical="center" indent="1"/>
    </xf>
    <xf numFmtId="165" fontId="0" fillId="0" borderId="0" pivotButton="0" quotePrefix="0" xfId="0"/>
    <xf numFmtId="0" fontId="8" fillId="0" borderId="1" pivotButton="0" quotePrefix="0" xfId="0"/>
    <xf numFmtId="165" fontId="9" fillId="0" borderId="1" pivotButton="0" quotePrefix="0" xfId="0"/>
    <xf numFmtId="168" fontId="9" fillId="0" borderId="1" pivotButton="0" quotePrefix="0" xfId="0"/>
    <xf numFmtId="2" fontId="9" fillId="0" borderId="1" pivotButton="0" quotePrefix="0" xfId="0"/>
    <xf numFmtId="0" fontId="10" fillId="0" borderId="0" applyAlignment="1" pivotButton="0" quotePrefix="0" xfId="0">
      <alignment vertical="top" wrapText="1"/>
    </xf>
    <xf numFmtId="0" fontId="3" fillId="0" borderId="1" pivotButton="0" quotePrefix="0" xfId="0"/>
    <xf numFmtId="0" fontId="7" fillId="0" borderId="1" pivotButton="0" quotePrefix="0" xfId="0"/>
    <xf numFmtId="164" fontId="7" fillId="0" borderId="1" pivotButton="0" quotePrefix="0" xfId="0"/>
    <xf numFmtId="165" fontId="7" fillId="0" borderId="1" pivotButton="0" quotePrefix="0" xfId="0"/>
    <xf numFmtId="165" fontId="7" fillId="4" borderId="1" pivotButton="0" quotePrefix="0" xfId="0"/>
    <xf numFmtId="0" fontId="5" fillId="0" borderId="0" applyAlignment="1" pivotButton="0" quotePrefix="0" xfId="0">
      <alignment vertical="center" wrapText="1"/>
    </xf>
    <xf numFmtId="166" fontId="7" fillId="4" borderId="1" pivotButton="0" quotePrefix="0" xfId="0"/>
    <xf numFmtId="1" fontId="7" fillId="4" borderId="1" pivotButton="0" quotePrefix="0" xfId="0"/>
    <xf numFmtId="167" fontId="7" fillId="4" borderId="1" pivotButton="0" quotePrefix="0" xfId="0"/>
    <xf numFmtId="168" fontId="7" fillId="0" borderId="1" pivotButton="0" quotePrefix="0" xfId="0"/>
    <xf numFmtId="168" fontId="2" fillId="0" borderId="1" pivotButton="0" quotePrefix="0" xfId="0"/>
    <xf numFmtId="166" fontId="7" fillId="0" borderId="1" pivotButton="0" quotePrefix="0" xfId="0"/>
    <xf numFmtId="2" fontId="7" fillId="0" borderId="1" pivotButton="0" quotePrefix="0" xfId="0"/>
    <xf numFmtId="0" fontId="6" fillId="2" borderId="0" applyAlignment="1" pivotButton="0" quotePrefix="0" xfId="0">
      <alignment vertical="center" wrapText="1"/>
    </xf>
    <xf numFmtId="0" fontId="11" fillId="0" borderId="0" pivotButton="0" quotePrefix="0" xfId="0"/>
    <xf numFmtId="0" fontId="0" fillId="0" borderId="0" applyAlignment="1" pivotButton="0" quotePrefix="0" xfId="0">
      <alignment vertical="top" wrapText="1"/>
    </xf>
    <xf numFmtId="0" fontId="12" fillId="0" borderId="0" applyAlignment="1" pivotButton="0" quotePrefix="0" xfId="0">
      <alignment vertical="top" wrapText="1"/>
    </xf>
  </cellXfs>
  <cellStyles count="1">
    <cellStyle name="Normal" xfId="0" builtinId="0" hidden="0"/>
  </cellStyles>
  <dxfs count="2">
    <dxf>
      <fill>
        <patternFill patternType="solid">
          <fgColor rgb="00E2EFDA"/>
        </patternFill>
      </fill>
    </dxf>
    <dxf>
      <fill>
        <patternFill patternType="solid">
          <fgColor rgb="00FCE4EC"/>
        </patternFill>
      </fill>
    </dxf>
  </dxf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 /><Relationship Type="http://schemas.openxmlformats.org/officeDocument/2006/relationships/worksheet" Target="/xl/worksheets/sheet2.xml" Id="rId2" /><Relationship Type="http://schemas.openxmlformats.org/officeDocument/2006/relationships/worksheet" Target="/xl/worksheets/sheet3.xml" Id="rId3" /><Relationship Type="http://schemas.openxmlformats.org/officeDocument/2006/relationships/styles" Target="styles.xml" Id="rId4" /><Relationship Type="http://schemas.openxmlformats.org/officeDocument/2006/relationships/theme" Target="theme/theme1.xml" Id="rId5" /></Relationships>
</file>

<file path=xl/charts/chart1.xml><?xml version="1.0" encoding="utf-8"?>
<chartSpace xmlns:a="http://schemas.openxmlformats.org/drawingml/2006/main" xmlns="http://schemas.openxmlformats.org/drawingml/2006/chart">
  <chart>
    <title>
      <tx>
        <rich>
          <a:bodyPr/>
          <a:p>
            <a:pPr>
              <a:defRPr/>
            </a:pPr>
            <a:r>
              <a:t>Le loyer paie-t-il le crédit ?</a:t>
            </a:r>
          </a:p>
        </rich>
      </tx>
    </title>
    <plotArea>
      <barChart>
        <barDir val="col"/>
        <grouping val="clustered"/>
        <ser>
          <idx val="0"/>
          <order val="0"/>
          <spPr>
            <a:solidFill>
              <a:srgbClr val="1D5240"/>
            </a:solidFill>
            <a:ln>
              <a:prstDash val="solid"/>
            </a:ln>
          </spPr>
          <cat>
            <numRef>
              <f>'Synthèse'!$E$7:$E$9</f>
            </numRef>
          </cat>
          <val>
            <numRef>
              <f>'Synthèse'!$F$7:$F$9</f>
            </numRef>
          </val>
        </ser>
        <gapWidth val="150"/>
        <axId val="10"/>
        <axId val="100"/>
      </barChart>
      <catAx>
        <axId val="10"/>
        <scaling>
          <orientation val="minMax"/>
        </scaling>
        <axPos val="l"/>
        <majorTickMark val="none"/>
        <minorTickMark val="none"/>
        <crossAx val="100"/>
        <lblOffset val="100"/>
      </catAx>
      <valAx>
        <axId val="100"/>
        <scaling>
          <orientation val="minMax"/>
        </scaling>
        <axPos val="l"/>
        <majorGridlines/>
        <numFmt formatCode="#,##0&quot; €&quot;" sourceLinked="0"/>
        <majorTickMark val="none"/>
        <minorTickMark val="none"/>
        <crossAx val="10"/>
      </valAx>
    </plotArea>
    <plotVisOnly val="1"/>
    <dispBlanksAs val="gap"/>
  </chart>
</chartSpace>
</file>

<file path=xl/charts/chart2.xml><?xml version="1.0" encoding="utf-8"?>
<chartSpace xmlns:a="http://schemas.openxmlformats.org/drawingml/2006/main" xmlns="http://schemas.openxmlformats.org/drawingml/2006/chart">
  <chart>
    <title>
      <tx>
        <rich>
          <a:bodyPr/>
          <a:p>
            <a:pPr>
              <a:defRPr/>
            </a:pPr>
            <a:r>
              <a:t>Capital restant dû</a:t>
            </a:r>
          </a:p>
        </rich>
      </tx>
    </title>
    <plotArea>
      <lineChart>
        <grouping val="standard"/>
        <ser>
          <idx val="0"/>
          <order val="0"/>
          <spPr>
            <a:ln w="22000">
              <a:solidFill>
                <a:srgbClr val="1D5240"/>
              </a:solidFill>
              <a:prstDash val="solid"/>
            </a:ln>
          </spPr>
          <marker>
            <symbol val="none"/>
            <spPr>
              <a:ln>
                <a:prstDash val="solid"/>
              </a:ln>
            </spPr>
          </marker>
          <cat>
            <numRef>
              <f>'Amortissement'!$A$2:$A$31</f>
            </numRef>
          </cat>
          <val>
            <numRef>
              <f>'Amortissement'!$E$2:$E$31</f>
            </numRef>
          </val>
        </ser>
        <axId val="10"/>
        <axId val="100"/>
      </lineChart>
      <catAx>
        <axId val="10"/>
        <scaling>
          <orientation val="minMax"/>
        </scaling>
        <axPos val="l"/>
        <title>
          <tx>
            <rich>
              <a:bodyPr/>
              <a:p>
                <a:pPr>
                  <a:defRPr/>
                </a:pPr>
                <a:r>
                  <a:t>Année</a:t>
                </a:r>
              </a:p>
            </rich>
          </tx>
        </title>
        <majorTickMark val="none"/>
        <minorTickMark val="none"/>
        <crossAx val="100"/>
        <lblOffset val="100"/>
      </catAx>
      <valAx>
        <axId val="100"/>
        <scaling>
          <orientation val="minMax"/>
        </scaling>
        <axPos val="l"/>
        <majorGridlines/>
        <numFmt formatCode="#,##0&quot; €&quot;" sourceLinked="0"/>
        <majorTickMark val="none"/>
        <minorTickMark val="none"/>
        <crossAx val="10"/>
      </valAx>
    </plotArea>
    <plotVisOnly val="1"/>
    <dispBlanksAs val="gap"/>
  </chart>
</chartSpace>
</file>

<file path=xl/drawings/_rels/drawing1.xml.rels><Relationships xmlns="http://schemas.openxmlformats.org/package/2006/relationships"><Relationship Type="http://schemas.openxmlformats.org/officeDocument/2006/relationships/chart" Target="/xl/charts/chart1.xml" Id="rId1" /></Relationships>
</file>

<file path=xl/drawings/_rels/drawing2.xml.rels><Relationships xmlns="http://schemas.openxmlformats.org/package/2006/relationships"><Relationship Type="http://schemas.openxmlformats.org/officeDocument/2006/relationships/chart" Target="/xl/charts/chart2.xml" Id="rId1" /></Relationships>
</file>

<file path=xl/drawings/drawing1.xml><?xml version="1.0" encoding="utf-8"?>
<wsDr xmlns:a="http://schemas.openxmlformats.org/drawingml/2006/main" xmlns:c="http://schemas.openxmlformats.org/drawingml/2006/chart" xmlns:r="http://schemas.openxmlformats.org/officeDocument/2006/relationships" xmlns="http://schemas.openxmlformats.org/drawingml/2006/spreadsheetDrawing">
  <oneCellAnchor>
    <from>
      <col>4</col>
      <colOff>0</colOff>
      <row>10</row>
      <rowOff>0</rowOff>
    </from>
    <ext cx="4320000" cy="2880000"/>
    <graphicFrame>
      <nvGraphicFramePr>
        <cNvPr id="1" name="Chart 1"/>
        <cNvGraphicFramePr/>
      </nvGraphicFramePr>
      <xfrm/>
      <a:graphic>
        <a:graphicData uri="http://schemas.openxmlformats.org/drawingml/2006/chart">
          <c:chart r:id="rId1"/>
        </a:graphicData>
      </a:graphic>
    </graphicFrame>
    <clientData/>
  </oneCellAnchor>
</wsDr>
</file>

<file path=xl/drawings/drawing2.xml><?xml version="1.0" encoding="utf-8"?>
<wsDr xmlns:a="http://schemas.openxmlformats.org/drawingml/2006/main" xmlns:c="http://schemas.openxmlformats.org/drawingml/2006/chart" xmlns:r="http://schemas.openxmlformats.org/officeDocument/2006/relationships" xmlns="http://schemas.openxmlformats.org/drawingml/2006/spreadsheetDrawing">
  <oneCellAnchor>
    <from>
      <col>8</col>
      <colOff>0</colOff>
      <row>1</row>
      <rowOff>0</rowOff>
    </from>
    <ext cx="5760000" cy="3240000"/>
    <graphicFrame>
      <nvGraphicFramePr>
        <cNvPr id="1" name="Chart 1"/>
        <cNvGraphicFramePr/>
      </nvGraphicFramePr>
      <xfrm/>
      <a:graphic>
        <a:graphicData uri="http://schemas.openxmlformats.org/drawingml/2006/chart">
          <c:chart r:id="rId1"/>
        </a:graphicData>
      </a:graphic>
    </graphicFrame>
    <clientData/>
  </oneCellAnchor>
</wsDr>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_rels/sheet1.xml.rels><Relationships xmlns="http://schemas.openxmlformats.org/package/2006/relationships"><Relationship Type="http://schemas.openxmlformats.org/officeDocument/2006/relationships/hyperlink" Target="https://www.bureauxlocaux.com/annonce/local-commercial-a-vendre--42380735" TargetMode="External" Id="rId1" /><Relationship Type="http://schemas.openxmlformats.org/officeDocument/2006/relationships/drawing" Target="/xl/drawings/drawing1.xml" Id="rId2" /></Relationships>
</file>

<file path=xl/worksheets/_rels/sheet2.xml.rels><Relationships xmlns="http://schemas.openxmlformats.org/package/2006/relationships"><Relationship Type="http://schemas.openxmlformats.org/officeDocument/2006/relationships/drawing" Target="/xl/drawings/drawing2.xml" Id="rId1" /></Relationships>
</file>

<file path=xl/worksheets/_rels/sheet3.xml.rels><Relationships xmlns="http://schemas.openxmlformats.org/package/2006/relationships"><Relationship Type="http://schemas.openxmlformats.org/officeDocument/2006/relationships/hyperlink" Target="https://www.bureauxlocaux.com/annonce/local-commercial-a-vendre--42380735" TargetMode="External" Id="rId1" /></Relationships>
</file>

<file path=xl/worksheets/sheet1.xml><?xml version="1.0" encoding="utf-8"?>
<worksheet xmlns="http://schemas.openxmlformats.org/spreadsheetml/2006/main">
  <sheetPr>
    <outlinePr summaryBelow="1" summaryRight="1"/>
    <pageSetUpPr fitToPage="1"/>
  </sheetPr>
  <dimension ref="A1:F57"/>
  <sheetViews>
    <sheetView showGridLines="0" workbookViewId="0">
      <selection activeCell="A1" sqref="A1"/>
    </sheetView>
  </sheetViews>
  <sheetFormatPr baseColWidth="8" defaultRowHeight="15"/>
  <cols>
    <col width="38" customWidth="1" min="1" max="1"/>
    <col width="17" customWidth="1" min="2" max="2"/>
    <col width="46" customWidth="1" min="3" max="3"/>
  </cols>
  <sheetData>
    <row r="1" ht="34" customHeight="1">
      <c r="A1" s="1" t="inlineStr">
        <is>
          <t>Les Murs.   Dossier de financement — murs commerciaux</t>
        </is>
      </c>
    </row>
    <row r="2" ht="3" customHeight="1">
      <c r="A2" s="2" t="n"/>
    </row>
    <row r="3">
      <c r="A3" s="3" t="inlineStr">
        <is>
          <t>LOCAL COMMERCIAL A VENDRE</t>
        </is>
      </c>
    </row>
    <row r="4">
      <c r="A4" s="4" t="inlineStr">
        <is>
          <t>Bondy (93140) — annonce bureauxlocaux du 2026-09-29</t>
        </is>
      </c>
      <c r="C4" s="5" t="inlineStr">
        <is>
          <t>Voir l'annonce en ligne ↗</t>
        </is>
      </c>
    </row>
    <row r="5">
      <c r="A5" s="6" t="inlineStr">
        <is>
          <t>Dossier généré le 24/10/2026 — indicatif, l'offre de prêt de la banque fait foi.</t>
        </is>
      </c>
    </row>
    <row r="7" ht="18" customHeight="1">
      <c r="A7" s="7" t="inlineStr">
        <is>
          <t>L'ESSENTIEL — ce que votre conseiller lit en premier</t>
        </is>
      </c>
      <c r="E7" s="6" t="inlineStr">
        <is>
          <t>Loyer mensuel</t>
        </is>
      </c>
      <c r="F7" s="8">
        <f>IFERROR(B20,0)</f>
        <v/>
      </c>
    </row>
    <row r="8">
      <c r="A8" s="9" t="inlineStr">
        <is>
          <t>Prix d'achat retenu</t>
        </is>
      </c>
      <c r="B8" s="10">
        <f>B25</f>
        <v/>
      </c>
      <c r="E8" s="6" t="inlineStr">
        <is>
          <t>Crédit + charges / mois</t>
        </is>
      </c>
      <c r="F8" s="8">
        <f>B38-(B43+B44+B45)/12</f>
        <v/>
      </c>
    </row>
    <row r="9">
      <c r="A9" s="9" t="inlineStr">
        <is>
          <t>Apport nécessaire</t>
        </is>
      </c>
      <c r="B9" s="10">
        <f>B36</f>
        <v/>
      </c>
      <c r="E9" s="6" t="inlineStr">
        <is>
          <t>Cash-flow</t>
        </is>
      </c>
      <c r="F9" s="8">
        <f>B49</f>
        <v/>
      </c>
    </row>
    <row r="10">
      <c r="A10" s="9" t="inlineStr">
        <is>
          <t>Mensualité de crédit estimée</t>
        </is>
      </c>
      <c r="B10" s="11">
        <f>B38</f>
        <v/>
      </c>
    </row>
    <row r="11">
      <c r="A11" s="9" t="inlineStr">
        <is>
          <t>Cash-flow mensuel attendu</t>
        </is>
      </c>
      <c r="B11" s="11">
        <f>B49</f>
        <v/>
      </c>
    </row>
    <row r="12">
      <c r="A12" s="9" t="inlineStr">
        <is>
          <t>DSCR (≥ 1,20 rassure)</t>
        </is>
      </c>
      <c r="B12" s="12">
        <f>B54</f>
        <v/>
      </c>
    </row>
    <row r="13">
      <c r="A13" s="13" t="inlineStr">
        <is>
          <t>EN CLAIR — Sur la base d'un loyer ESTIMÉ (pas de bail signé à ce stade) : aux hypothèses de ce dossier (apport 20 %, crédit 5,34 % sur 20 ans, charges provisionnées), le bien s'autofinance : le loyer couvre crédit et charges et laisse environ +238 €/mois.</t>
        </is>
      </c>
    </row>
    <row r="14"/>
    <row r="15" ht="18" customHeight="1">
      <c r="A15" s="7" t="inlineStr">
        <is>
          <t>LE BIEN</t>
        </is>
      </c>
    </row>
    <row r="16">
      <c r="A16" s="14" t="inlineStr">
        <is>
          <t>État locatif</t>
        </is>
      </c>
      <c r="B16" s="15" t="inlineStr">
        <is>
          <t>Murs libres — local à louer après l'achat</t>
        </is>
      </c>
    </row>
    <row r="17">
      <c r="A17" s="14" t="inlineStr">
        <is>
          <t>Surface</t>
        </is>
      </c>
      <c r="B17" s="16" t="n">
        <v>188</v>
      </c>
    </row>
    <row r="18">
      <c r="A18" s="14" t="inlineStr">
        <is>
          <t>Prix affiché</t>
        </is>
      </c>
      <c r="B18" s="17" t="n">
        <v>325555</v>
      </c>
    </row>
    <row r="19">
      <c r="A19" s="14" t="inlineStr">
        <is>
          <t>Prix au m²</t>
        </is>
      </c>
      <c r="B19" s="17">
        <f>IFERROR(B18/B17,"")</f>
        <v/>
      </c>
    </row>
    <row r="20">
      <c r="A20" s="14" t="inlineStr">
        <is>
          <t>Loyer mensuel HT</t>
        </is>
      </c>
      <c r="B20" s="18" t="n">
        <v>2506.67</v>
      </c>
      <c r="C20" s="19" t="inlineStr">
        <is>
          <t>ESTIMATION au loyer de marché local — aucun bail ne le garantit</t>
        </is>
      </c>
    </row>
    <row r="21">
      <c r="A21" s="14" t="inlineStr">
        <is>
          <t>Marché local (prix/m²)</t>
        </is>
      </c>
      <c r="B21" s="15" t="inlineStr">
        <is>
          <t>1 171 à 2 628 €/m²</t>
        </is>
      </c>
      <c r="C21" s="19" t="inlineStr">
        <is>
          <t>ce bien est 9 % SOUS la médiane locale</t>
        </is>
      </c>
    </row>
    <row r="22">
      <c r="A22" s="14" t="inlineStr">
        <is>
          <t>Source de la fourchette</t>
        </is>
      </c>
      <c r="B22" s="15" t="inlineStr">
        <is>
          <t>28 ventes réelles 2023-2025 (DVF)</t>
        </is>
      </c>
      <c r="C22" s="19" t="inlineStr">
        <is>
          <t>DVF = prix réellement payés, enregistrés chez le notaire (data.gouv.fr)</t>
        </is>
      </c>
    </row>
    <row r="24" ht="18" customHeight="1">
      <c r="A24" s="7" t="inlineStr">
        <is>
          <t>HYPOTHÈSES — cellules jaunes à ajuster avec votre conseiller</t>
        </is>
      </c>
    </row>
    <row r="25">
      <c r="A25" s="14" t="inlineStr">
        <is>
          <t>Prix négocié retenu</t>
        </is>
      </c>
      <c r="B25" s="18" t="n">
        <v>325555</v>
      </c>
      <c r="C25" s="19" t="inlineStr">
        <is>
          <t>par défaut le prix affiché — un prix demandé se négocie</t>
        </is>
      </c>
    </row>
    <row r="26">
      <c r="A26" s="14" t="inlineStr">
        <is>
          <t>Frais d'acquisition (notaire, garanties)</t>
        </is>
      </c>
      <c r="B26" s="20" t="n">
        <v>0.08</v>
      </c>
    </row>
    <row r="27">
      <c r="A27" s="14" t="inlineStr">
        <is>
          <t>Apport personnel</t>
        </is>
      </c>
      <c r="B27" s="20" t="n">
        <v>0.2</v>
      </c>
    </row>
    <row r="28">
      <c r="A28" s="14" t="inlineStr">
        <is>
          <t>Taux du crédit (hors assurance)</t>
        </is>
      </c>
      <c r="B28" s="20" t="n">
        <v>0.0534</v>
      </c>
    </row>
    <row r="29">
      <c r="A29" s="14" t="inlineStr">
        <is>
          <t>Durée du crédit (années)</t>
        </is>
      </c>
      <c r="B29" s="21" t="n">
        <v>20</v>
      </c>
    </row>
    <row r="30">
      <c r="A30" s="14" t="inlineStr">
        <is>
          <t>Taxe foncière (en mois de loyer par an)</t>
        </is>
      </c>
      <c r="B30" s="22" t="n">
        <v>1</v>
      </c>
      <c r="C30" s="19" t="inlineStr">
        <is>
          <t>à remplacer par le montant réel dès que connu</t>
        </is>
      </c>
    </row>
    <row r="31">
      <c r="A31" s="14" t="inlineStr">
        <is>
          <t>Provision entretien &amp; vacance (% du loyer)</t>
        </is>
      </c>
      <c r="B31" s="20" t="n">
        <v>0.05</v>
      </c>
    </row>
    <row r="32">
      <c r="A32" s="14" t="inlineStr">
        <is>
          <t>Assurance propriétaire (PNO, €/an)</t>
        </is>
      </c>
      <c r="B32" s="18" t="n">
        <v>300</v>
      </c>
    </row>
    <row r="34" ht="18" customHeight="1">
      <c r="A34" s="7" t="inlineStr">
        <is>
          <t>PLAN DE FINANCEMENT</t>
        </is>
      </c>
    </row>
    <row r="35">
      <c r="A35" s="14" t="inlineStr">
        <is>
          <t>Coût d'acquisition total</t>
        </is>
      </c>
      <c r="B35" s="17">
        <f>B25*(1+B26)</f>
        <v/>
      </c>
      <c r="C35" s="19" t="inlineStr">
        <is>
          <t>prix négocié + frais d'acquisition</t>
        </is>
      </c>
    </row>
    <row r="36">
      <c r="A36" s="14" t="inlineStr">
        <is>
          <t>Apport personnel</t>
        </is>
      </c>
      <c r="B36" s="17">
        <f>B35*B27</f>
        <v/>
      </c>
    </row>
    <row r="37">
      <c r="A37" s="14" t="inlineStr">
        <is>
          <t>Montant emprunté</t>
        </is>
      </c>
      <c r="B37" s="17">
        <f>B35-B36</f>
        <v/>
      </c>
    </row>
    <row r="38">
      <c r="A38" s="14" t="inlineStr">
        <is>
          <t>Mensualité du crédit</t>
        </is>
      </c>
      <c r="B38" s="23">
        <f>IFERROR(-PMT(B28/12,B29*12,B37),0)</f>
        <v/>
      </c>
    </row>
    <row r="39">
      <c r="A39" s="14" t="inlineStr">
        <is>
          <t>Service de la dette (annuel)</t>
        </is>
      </c>
      <c r="B39" s="17">
        <f>B38*12</f>
        <v/>
      </c>
    </row>
    <row r="41" ht="18" customHeight="1">
      <c r="A41" s="7" t="inlineStr">
        <is>
          <t>EXPLOITATION ANNUELLE</t>
        </is>
      </c>
    </row>
    <row r="42">
      <c r="A42" s="14" t="inlineStr">
        <is>
          <t>Loyers annuels HT</t>
        </is>
      </c>
      <c r="B42" s="17">
        <f>IFERROR(B20*12,0)</f>
        <v/>
      </c>
    </row>
    <row r="43">
      <c r="A43" s="14" t="inlineStr">
        <is>
          <t>− Taxe foncière</t>
        </is>
      </c>
      <c r="B43" s="17">
        <f>-IFERROR(B20*B30,0)</f>
        <v/>
      </c>
    </row>
    <row r="44">
      <c r="A44" s="14" t="inlineStr">
        <is>
          <t>− Entretien &amp; vacance locative</t>
        </is>
      </c>
      <c r="B44" s="17">
        <f>-B42*B31</f>
        <v/>
      </c>
    </row>
    <row r="45">
      <c r="A45" s="14" t="inlineStr">
        <is>
          <t>− Assurance PNO</t>
        </is>
      </c>
      <c r="B45" s="17">
        <f>-B32</f>
        <v/>
      </c>
    </row>
    <row r="46">
      <c r="A46" s="14" t="inlineStr">
        <is>
          <t>Revenu net avant crédit</t>
        </is>
      </c>
      <c r="B46" s="17">
        <f>B42+B43+B44+B45</f>
        <v/>
      </c>
    </row>
    <row r="47">
      <c r="A47" s="14" t="inlineStr">
        <is>
          <t>− Remboursement du crédit</t>
        </is>
      </c>
      <c r="B47" s="17">
        <f>-B39</f>
        <v/>
      </c>
    </row>
    <row r="48">
      <c r="A48" s="14" t="inlineStr">
        <is>
          <t>Cash-flow annuel</t>
        </is>
      </c>
      <c r="B48" s="17">
        <f>B46-B39</f>
        <v/>
      </c>
    </row>
    <row r="49">
      <c r="A49" s="14" t="inlineStr">
        <is>
          <t>Cash-flow mensuel</t>
        </is>
      </c>
      <c r="B49" s="24">
        <f>B48/12</f>
        <v/>
      </c>
      <c r="C49" s="19" t="inlineStr">
        <is>
          <t>positif : le bien se paie tout seul, loyer ≥ crédit + charges</t>
        </is>
      </c>
    </row>
    <row r="51" ht="18" customHeight="1">
      <c r="A51" s="7" t="inlineStr">
        <is>
          <t>LES RATIOS QUE REGARDE LE BANQUIER</t>
        </is>
      </c>
    </row>
    <row r="52">
      <c r="A52" s="14" t="inlineStr">
        <is>
          <t>Rendement brut</t>
        </is>
      </c>
      <c r="B52" s="25">
        <f>IFERROR(B42/B25,"")</f>
        <v/>
      </c>
      <c r="C52" s="19" t="inlineStr">
        <is>
          <t>loyer annuel ÷ prix — la base de comparaison des biens</t>
        </is>
      </c>
    </row>
    <row r="53">
      <c r="A53" s="14" t="inlineStr">
        <is>
          <t>Rendement net avant crédit</t>
        </is>
      </c>
      <c r="B53" s="25">
        <f>IFERROR(B46/B35,"")</f>
        <v/>
      </c>
      <c r="C53" s="19" t="inlineStr">
        <is>
          <t>après taxe foncière, entretien et assurance</t>
        </is>
      </c>
    </row>
    <row r="54">
      <c r="A54" s="14" t="inlineStr">
        <is>
          <t>DSCR — couverture de la dette</t>
        </is>
      </c>
      <c r="B54" s="26">
        <f>IFERROR(B46/B39,"")</f>
        <v/>
      </c>
      <c r="C54" s="19" t="inlineStr">
        <is>
          <t>revenu net ÷ crédit : ≥ 1,20 rassure une banque</t>
        </is>
      </c>
    </row>
    <row r="55">
      <c r="A55" s="14" t="inlineStr">
        <is>
          <t>LTV — part financée par la banque</t>
        </is>
      </c>
      <c r="B55" s="25">
        <f>IFERROR(B37/B25,"")</f>
        <v/>
      </c>
      <c r="C55" s="19" t="inlineStr">
        <is>
          <t>≤ 80 % est la zone de confort bancaire</t>
        </is>
      </c>
    </row>
    <row r="56">
      <c r="A56" s="14" t="inlineStr">
        <is>
          <t>Effort d'épargne mensuel si négatif</t>
        </is>
      </c>
      <c r="B56" s="23">
        <f>MAX(0,-B48/12)</f>
        <v/>
      </c>
    </row>
    <row r="57">
      <c r="A57" s="14" t="inlineStr">
        <is>
          <t>Score de l'outil de veille</t>
        </is>
      </c>
      <c r="B57" s="15" t="inlineStr">
        <is>
          <t>60/100</t>
        </is>
      </c>
      <c r="C57" s="19" t="inlineStr">
        <is>
          <t>rendement, emplacement, prix vs marché, financement, fiscalité</t>
        </is>
      </c>
    </row>
  </sheetData>
  <mergeCells count="11">
    <mergeCell ref="A4:B4"/>
    <mergeCell ref="A41:C41"/>
    <mergeCell ref="A1:C1"/>
    <mergeCell ref="A3:C3"/>
    <mergeCell ref="A13:C14"/>
    <mergeCell ref="A34:C34"/>
    <mergeCell ref="A15:C15"/>
    <mergeCell ref="A7:C7"/>
    <mergeCell ref="A24:C24"/>
    <mergeCell ref="A2:C2"/>
    <mergeCell ref="A51:C51"/>
  </mergeCells>
  <conditionalFormatting sqref="B48">
    <cfRule type="cellIs" priority="1" operator="greaterThanOrEqual" dxfId="0">
      <formula>0</formula>
    </cfRule>
    <cfRule type="cellIs" priority="2" operator="lessThan" dxfId="1">
      <formula>0</formula>
    </cfRule>
  </conditionalFormatting>
  <conditionalFormatting sqref="B49">
    <cfRule type="cellIs" priority="3" operator="greaterThanOrEqual" dxfId="0">
      <formula>0</formula>
    </cfRule>
    <cfRule type="cellIs" priority="4" operator="lessThan" dxfId="1">
      <formula>0</formula>
    </cfRule>
  </conditionalFormatting>
  <conditionalFormatting sqref="B54">
    <cfRule type="cellIs" priority="5" operator="greaterThanOrEqual" dxfId="0">
      <formula>1.2</formula>
    </cfRule>
    <cfRule type="cellIs" priority="6" operator="lessThan" dxfId="1">
      <formula>1</formula>
    </cfRule>
  </conditionalFormatting>
  <conditionalFormatting sqref="B11">
    <cfRule type="cellIs" priority="7" operator="greaterThanOrEqual" dxfId="0">
      <formula>0</formula>
    </cfRule>
    <cfRule type="cellIs" priority="8" operator="lessThan" dxfId="1">
      <formula>0</formula>
    </cfRule>
  </conditionalFormatting>
  <hyperlinks>
    <hyperlink xmlns:r="http://schemas.openxmlformats.org/officeDocument/2006/relationships" ref="C4" r:id="rId1"/>
  </hyperlinks>
  <pageMargins left="0.75" right="0.75" top="1" bottom="1" header="0.5" footer="0.5"/>
  <pageSetup orientation="portrait" fitToHeight="0" fitToWidth="1"/>
  <headerFooter>
    <oddHeader/>
    <oddFooter>&amp;C&amp;8 Les Murs. — dossier indicatif généré automatiquement ; l'offre de prêt de la banque fait foi</oddFooter>
    <evenHeader/>
    <evenFooter/>
    <firstHeader/>
    <firstFooter/>
  </headerFooter>
  <drawing xmlns:r="http://schemas.openxmlformats.org/officeDocument/2006/relationships" r:id="rId2"/>
</worksheet>
</file>

<file path=xl/worksheets/sheet2.xml><?xml version="1.0" encoding="utf-8"?>
<worksheet xmlns="http://schemas.openxmlformats.org/spreadsheetml/2006/main">
  <sheetPr>
    <outlinePr summaryBelow="1" summaryRight="1"/>
    <pageSetUpPr/>
  </sheetPr>
  <dimension ref="A1:G31"/>
  <sheetViews>
    <sheetView showGridLines="0" workbookViewId="0">
      <selection activeCell="A1" sqref="A1"/>
    </sheetView>
  </sheetViews>
  <sheetFormatPr baseColWidth="8" defaultRowHeight="15"/>
  <cols>
    <col width="22" customWidth="1" min="1" max="1"/>
    <col width="22" customWidth="1" min="2" max="2"/>
    <col width="22" customWidth="1" min="3" max="3"/>
    <col width="22" customWidth="1" min="4" max="4"/>
    <col width="22" customWidth="1" min="5" max="5"/>
    <col hidden="1" width="13" customWidth="1" min="7" max="7"/>
  </cols>
  <sheetData>
    <row r="1">
      <c r="A1" s="27" t="inlineStr">
        <is>
          <t>Année</t>
        </is>
      </c>
      <c r="B1" s="27" t="inlineStr">
        <is>
          <t>Capital dû en début d'année</t>
        </is>
      </c>
      <c r="C1" s="27" t="inlineStr">
        <is>
          <t>Intérêts de l'année</t>
        </is>
      </c>
      <c r="D1" s="27" t="inlineStr">
        <is>
          <t>Capital remboursé</t>
        </is>
      </c>
      <c r="E1" s="27" t="inlineStr">
        <is>
          <t>Capital restant dû</t>
        </is>
      </c>
      <c r="G1">
        <f>'Synthèse'!B29</f>
        <v/>
      </c>
    </row>
    <row r="2">
      <c r="A2" t="n">
        <v>1</v>
      </c>
      <c r="B2" s="8">
        <f>IF(A2&lt;=$G$1,'Synthèse'!$B$37,"")</f>
        <v/>
      </c>
      <c r="C2" s="8">
        <f>IF(A2&lt;=$G$1,B2*$G$2,"")</f>
        <v/>
      </c>
      <c r="D2" s="8">
        <f>IF(A2&lt;=$G$1,MIN(B2,$G$3-C2),"")</f>
        <v/>
      </c>
      <c r="E2" s="8">
        <f>IF(A2&lt;=$G$1,MAX(0,B2-D2),"")</f>
        <v/>
      </c>
      <c r="F2" s="6" t="inlineStr">
        <is>
          <t>Tableau indicatif (pas annuel) — l'offre de prêt de la banque fait foi.</t>
        </is>
      </c>
      <c r="G2">
        <f>'Synthèse'!B28</f>
        <v/>
      </c>
    </row>
    <row r="3">
      <c r="A3" t="n">
        <v>2</v>
      </c>
      <c r="B3" s="8">
        <f>IF(A3&lt;=$G$1,E2,"")</f>
        <v/>
      </c>
      <c r="C3" s="8">
        <f>IF(A3&lt;=$G$1,B3*$G$2,"")</f>
        <v/>
      </c>
      <c r="D3" s="8">
        <f>IF(A3&lt;=$G$1,MIN(B3,$G$3-C3),"")</f>
        <v/>
      </c>
      <c r="E3" s="8">
        <f>IF(A3&lt;=$G$1,MAX(0,B3-D3),"")</f>
        <v/>
      </c>
      <c r="G3">
        <f>'Synthèse'!B39</f>
        <v/>
      </c>
    </row>
    <row r="4">
      <c r="A4" t="n">
        <v>3</v>
      </c>
      <c r="B4" s="8">
        <f>IF(A4&lt;=$G$1,E3,"")</f>
        <v/>
      </c>
      <c r="C4" s="8">
        <f>IF(A4&lt;=$G$1,B4*$G$2,"")</f>
        <v/>
      </c>
      <c r="D4" s="8">
        <f>IF(A4&lt;=$G$1,MIN(B4,$G$3-C4),"")</f>
        <v/>
      </c>
      <c r="E4" s="8">
        <f>IF(A4&lt;=$G$1,MAX(0,B4-D4),"")</f>
        <v/>
      </c>
    </row>
    <row r="5">
      <c r="A5" t="n">
        <v>4</v>
      </c>
      <c r="B5" s="8">
        <f>IF(A5&lt;=$G$1,E4,"")</f>
        <v/>
      </c>
      <c r="C5" s="8">
        <f>IF(A5&lt;=$G$1,B5*$G$2,"")</f>
        <v/>
      </c>
      <c r="D5" s="8">
        <f>IF(A5&lt;=$G$1,MIN(B5,$G$3-C5),"")</f>
        <v/>
      </c>
      <c r="E5" s="8">
        <f>IF(A5&lt;=$G$1,MAX(0,B5-D5),"")</f>
        <v/>
      </c>
    </row>
    <row r="6">
      <c r="A6" t="n">
        <v>5</v>
      </c>
      <c r="B6" s="8">
        <f>IF(A6&lt;=$G$1,E5,"")</f>
        <v/>
      </c>
      <c r="C6" s="8">
        <f>IF(A6&lt;=$G$1,B6*$G$2,"")</f>
        <v/>
      </c>
      <c r="D6" s="8">
        <f>IF(A6&lt;=$G$1,MIN(B6,$G$3-C6),"")</f>
        <v/>
      </c>
      <c r="E6" s="8">
        <f>IF(A6&lt;=$G$1,MAX(0,B6-D6),"")</f>
        <v/>
      </c>
    </row>
    <row r="7">
      <c r="A7" t="n">
        <v>6</v>
      </c>
      <c r="B7" s="8">
        <f>IF(A7&lt;=$G$1,E6,"")</f>
        <v/>
      </c>
      <c r="C7" s="8">
        <f>IF(A7&lt;=$G$1,B7*$G$2,"")</f>
        <v/>
      </c>
      <c r="D7" s="8">
        <f>IF(A7&lt;=$G$1,MIN(B7,$G$3-C7),"")</f>
        <v/>
      </c>
      <c r="E7" s="8">
        <f>IF(A7&lt;=$G$1,MAX(0,B7-D7),"")</f>
        <v/>
      </c>
    </row>
    <row r="8">
      <c r="A8" t="n">
        <v>7</v>
      </c>
      <c r="B8" s="8">
        <f>IF(A8&lt;=$G$1,E7,"")</f>
        <v/>
      </c>
      <c r="C8" s="8">
        <f>IF(A8&lt;=$G$1,B8*$G$2,"")</f>
        <v/>
      </c>
      <c r="D8" s="8">
        <f>IF(A8&lt;=$G$1,MIN(B8,$G$3-C8),"")</f>
        <v/>
      </c>
      <c r="E8" s="8">
        <f>IF(A8&lt;=$G$1,MAX(0,B8-D8),"")</f>
        <v/>
      </c>
    </row>
    <row r="9">
      <c r="A9" t="n">
        <v>8</v>
      </c>
      <c r="B9" s="8">
        <f>IF(A9&lt;=$G$1,E8,"")</f>
        <v/>
      </c>
      <c r="C9" s="8">
        <f>IF(A9&lt;=$G$1,B9*$G$2,"")</f>
        <v/>
      </c>
      <c r="D9" s="8">
        <f>IF(A9&lt;=$G$1,MIN(B9,$G$3-C9),"")</f>
        <v/>
      </c>
      <c r="E9" s="8">
        <f>IF(A9&lt;=$G$1,MAX(0,B9-D9),"")</f>
        <v/>
      </c>
    </row>
    <row r="10">
      <c r="A10" t="n">
        <v>9</v>
      </c>
      <c r="B10" s="8">
        <f>IF(A10&lt;=$G$1,E9,"")</f>
        <v/>
      </c>
      <c r="C10" s="8">
        <f>IF(A10&lt;=$G$1,B10*$G$2,"")</f>
        <v/>
      </c>
      <c r="D10" s="8">
        <f>IF(A10&lt;=$G$1,MIN(B10,$G$3-C10),"")</f>
        <v/>
      </c>
      <c r="E10" s="8">
        <f>IF(A10&lt;=$G$1,MAX(0,B10-D10),"")</f>
        <v/>
      </c>
    </row>
    <row r="11">
      <c r="A11" t="n">
        <v>10</v>
      </c>
      <c r="B11" s="8">
        <f>IF(A11&lt;=$G$1,E10,"")</f>
        <v/>
      </c>
      <c r="C11" s="8">
        <f>IF(A11&lt;=$G$1,B11*$G$2,"")</f>
        <v/>
      </c>
      <c r="D11" s="8">
        <f>IF(A11&lt;=$G$1,MIN(B11,$G$3-C11),"")</f>
        <v/>
      </c>
      <c r="E11" s="8">
        <f>IF(A11&lt;=$G$1,MAX(0,B11-D11),"")</f>
        <v/>
      </c>
    </row>
    <row r="12">
      <c r="A12" t="n">
        <v>11</v>
      </c>
      <c r="B12" s="8">
        <f>IF(A12&lt;=$G$1,E11,"")</f>
        <v/>
      </c>
      <c r="C12" s="8">
        <f>IF(A12&lt;=$G$1,B12*$G$2,"")</f>
        <v/>
      </c>
      <c r="D12" s="8">
        <f>IF(A12&lt;=$G$1,MIN(B12,$G$3-C12),"")</f>
        <v/>
      </c>
      <c r="E12" s="8">
        <f>IF(A12&lt;=$G$1,MAX(0,B12-D12),"")</f>
        <v/>
      </c>
    </row>
    <row r="13">
      <c r="A13" t="n">
        <v>12</v>
      </c>
      <c r="B13" s="8">
        <f>IF(A13&lt;=$G$1,E12,"")</f>
        <v/>
      </c>
      <c r="C13" s="8">
        <f>IF(A13&lt;=$G$1,B13*$G$2,"")</f>
        <v/>
      </c>
      <c r="D13" s="8">
        <f>IF(A13&lt;=$G$1,MIN(B13,$G$3-C13),"")</f>
        <v/>
      </c>
      <c r="E13" s="8">
        <f>IF(A13&lt;=$G$1,MAX(0,B13-D13),"")</f>
        <v/>
      </c>
    </row>
    <row r="14">
      <c r="A14" t="n">
        <v>13</v>
      </c>
      <c r="B14" s="8">
        <f>IF(A14&lt;=$G$1,E13,"")</f>
        <v/>
      </c>
      <c r="C14" s="8">
        <f>IF(A14&lt;=$G$1,B14*$G$2,"")</f>
        <v/>
      </c>
      <c r="D14" s="8">
        <f>IF(A14&lt;=$G$1,MIN(B14,$G$3-C14),"")</f>
        <v/>
      </c>
      <c r="E14" s="8">
        <f>IF(A14&lt;=$G$1,MAX(0,B14-D14),"")</f>
        <v/>
      </c>
    </row>
    <row r="15">
      <c r="A15" t="n">
        <v>14</v>
      </c>
      <c r="B15" s="8">
        <f>IF(A15&lt;=$G$1,E14,"")</f>
        <v/>
      </c>
      <c r="C15" s="8">
        <f>IF(A15&lt;=$G$1,B15*$G$2,"")</f>
        <v/>
      </c>
      <c r="D15" s="8">
        <f>IF(A15&lt;=$G$1,MIN(B15,$G$3-C15),"")</f>
        <v/>
      </c>
      <c r="E15" s="8">
        <f>IF(A15&lt;=$G$1,MAX(0,B15-D15),"")</f>
        <v/>
      </c>
    </row>
    <row r="16">
      <c r="A16" t="n">
        <v>15</v>
      </c>
      <c r="B16" s="8">
        <f>IF(A16&lt;=$G$1,E15,"")</f>
        <v/>
      </c>
      <c r="C16" s="8">
        <f>IF(A16&lt;=$G$1,B16*$G$2,"")</f>
        <v/>
      </c>
      <c r="D16" s="8">
        <f>IF(A16&lt;=$G$1,MIN(B16,$G$3-C16),"")</f>
        <v/>
      </c>
      <c r="E16" s="8">
        <f>IF(A16&lt;=$G$1,MAX(0,B16-D16),"")</f>
        <v/>
      </c>
    </row>
    <row r="17">
      <c r="A17" t="n">
        <v>16</v>
      </c>
      <c r="B17" s="8">
        <f>IF(A17&lt;=$G$1,E16,"")</f>
        <v/>
      </c>
      <c r="C17" s="8">
        <f>IF(A17&lt;=$G$1,B17*$G$2,"")</f>
        <v/>
      </c>
      <c r="D17" s="8">
        <f>IF(A17&lt;=$G$1,MIN(B17,$G$3-C17),"")</f>
        <v/>
      </c>
      <c r="E17" s="8">
        <f>IF(A17&lt;=$G$1,MAX(0,B17-D17),"")</f>
        <v/>
      </c>
    </row>
    <row r="18">
      <c r="A18" t="n">
        <v>17</v>
      </c>
      <c r="B18" s="8">
        <f>IF(A18&lt;=$G$1,E17,"")</f>
        <v/>
      </c>
      <c r="C18" s="8">
        <f>IF(A18&lt;=$G$1,B18*$G$2,"")</f>
        <v/>
      </c>
      <c r="D18" s="8">
        <f>IF(A18&lt;=$G$1,MIN(B18,$G$3-C18),"")</f>
        <v/>
      </c>
      <c r="E18" s="8">
        <f>IF(A18&lt;=$G$1,MAX(0,B18-D18),"")</f>
        <v/>
      </c>
    </row>
    <row r="19">
      <c r="A19" t="n">
        <v>18</v>
      </c>
      <c r="B19" s="8">
        <f>IF(A19&lt;=$G$1,E18,"")</f>
        <v/>
      </c>
      <c r="C19" s="8">
        <f>IF(A19&lt;=$G$1,B19*$G$2,"")</f>
        <v/>
      </c>
      <c r="D19" s="8">
        <f>IF(A19&lt;=$G$1,MIN(B19,$G$3-C19),"")</f>
        <v/>
      </c>
      <c r="E19" s="8">
        <f>IF(A19&lt;=$G$1,MAX(0,B19-D19),"")</f>
        <v/>
      </c>
    </row>
    <row r="20">
      <c r="A20" t="n">
        <v>19</v>
      </c>
      <c r="B20" s="8">
        <f>IF(A20&lt;=$G$1,E19,"")</f>
        <v/>
      </c>
      <c r="C20" s="8">
        <f>IF(A20&lt;=$G$1,B20*$G$2,"")</f>
        <v/>
      </c>
      <c r="D20" s="8">
        <f>IF(A20&lt;=$G$1,MIN(B20,$G$3-C20),"")</f>
        <v/>
      </c>
      <c r="E20" s="8">
        <f>IF(A20&lt;=$G$1,MAX(0,B20-D20),"")</f>
        <v/>
      </c>
    </row>
    <row r="21">
      <c r="A21" t="n">
        <v>20</v>
      </c>
      <c r="B21" s="8">
        <f>IF(A21&lt;=$G$1,E20,"")</f>
        <v/>
      </c>
      <c r="C21" s="8">
        <f>IF(A21&lt;=$G$1,B21*$G$2,"")</f>
        <v/>
      </c>
      <c r="D21" s="8">
        <f>IF(A21&lt;=$G$1,MIN(B21,$G$3-C21),"")</f>
        <v/>
      </c>
      <c r="E21" s="8">
        <f>IF(A21&lt;=$G$1,MAX(0,B21-D21),"")</f>
        <v/>
      </c>
    </row>
    <row r="22">
      <c r="A22" t="n">
        <v>21</v>
      </c>
      <c r="B22" s="8">
        <f>IF(A22&lt;=$G$1,E21,"")</f>
        <v/>
      </c>
      <c r="C22" s="8">
        <f>IF(A22&lt;=$G$1,B22*$G$2,"")</f>
        <v/>
      </c>
      <c r="D22" s="8">
        <f>IF(A22&lt;=$G$1,MIN(B22,$G$3-C22),"")</f>
        <v/>
      </c>
      <c r="E22" s="8">
        <f>IF(A22&lt;=$G$1,MAX(0,B22-D22),"")</f>
        <v/>
      </c>
    </row>
    <row r="23">
      <c r="A23" t="n">
        <v>22</v>
      </c>
      <c r="B23" s="8">
        <f>IF(A23&lt;=$G$1,E22,"")</f>
        <v/>
      </c>
      <c r="C23" s="8">
        <f>IF(A23&lt;=$G$1,B23*$G$2,"")</f>
        <v/>
      </c>
      <c r="D23" s="8">
        <f>IF(A23&lt;=$G$1,MIN(B23,$G$3-C23),"")</f>
        <v/>
      </c>
      <c r="E23" s="8">
        <f>IF(A23&lt;=$G$1,MAX(0,B23-D23),"")</f>
        <v/>
      </c>
    </row>
    <row r="24">
      <c r="A24" t="n">
        <v>23</v>
      </c>
      <c r="B24" s="8">
        <f>IF(A24&lt;=$G$1,E23,"")</f>
        <v/>
      </c>
      <c r="C24" s="8">
        <f>IF(A24&lt;=$G$1,B24*$G$2,"")</f>
        <v/>
      </c>
      <c r="D24" s="8">
        <f>IF(A24&lt;=$G$1,MIN(B24,$G$3-C24),"")</f>
        <v/>
      </c>
      <c r="E24" s="8">
        <f>IF(A24&lt;=$G$1,MAX(0,B24-D24),"")</f>
        <v/>
      </c>
    </row>
    <row r="25">
      <c r="A25" t="n">
        <v>24</v>
      </c>
      <c r="B25" s="8">
        <f>IF(A25&lt;=$G$1,E24,"")</f>
        <v/>
      </c>
      <c r="C25" s="8">
        <f>IF(A25&lt;=$G$1,B25*$G$2,"")</f>
        <v/>
      </c>
      <c r="D25" s="8">
        <f>IF(A25&lt;=$G$1,MIN(B25,$G$3-C25),"")</f>
        <v/>
      </c>
      <c r="E25" s="8">
        <f>IF(A25&lt;=$G$1,MAX(0,B25-D25),"")</f>
        <v/>
      </c>
    </row>
    <row r="26">
      <c r="A26" t="n">
        <v>25</v>
      </c>
      <c r="B26" s="8">
        <f>IF(A26&lt;=$G$1,E25,"")</f>
        <v/>
      </c>
      <c r="C26" s="8">
        <f>IF(A26&lt;=$G$1,B26*$G$2,"")</f>
        <v/>
      </c>
      <c r="D26" s="8">
        <f>IF(A26&lt;=$G$1,MIN(B26,$G$3-C26),"")</f>
        <v/>
      </c>
      <c r="E26" s="8">
        <f>IF(A26&lt;=$G$1,MAX(0,B26-D26),"")</f>
        <v/>
      </c>
    </row>
    <row r="27">
      <c r="A27" t="n">
        <v>26</v>
      </c>
      <c r="B27" s="8">
        <f>IF(A27&lt;=$G$1,E26,"")</f>
        <v/>
      </c>
      <c r="C27" s="8">
        <f>IF(A27&lt;=$G$1,B27*$G$2,"")</f>
        <v/>
      </c>
      <c r="D27" s="8">
        <f>IF(A27&lt;=$G$1,MIN(B27,$G$3-C27),"")</f>
        <v/>
      </c>
      <c r="E27" s="8">
        <f>IF(A27&lt;=$G$1,MAX(0,B27-D27),"")</f>
        <v/>
      </c>
    </row>
    <row r="28">
      <c r="A28" t="n">
        <v>27</v>
      </c>
      <c r="B28" s="8">
        <f>IF(A28&lt;=$G$1,E27,"")</f>
        <v/>
      </c>
      <c r="C28" s="8">
        <f>IF(A28&lt;=$G$1,B28*$G$2,"")</f>
        <v/>
      </c>
      <c r="D28" s="8">
        <f>IF(A28&lt;=$G$1,MIN(B28,$G$3-C28),"")</f>
        <v/>
      </c>
      <c r="E28" s="8">
        <f>IF(A28&lt;=$G$1,MAX(0,B28-D28),"")</f>
        <v/>
      </c>
    </row>
    <row r="29">
      <c r="A29" t="n">
        <v>28</v>
      </c>
      <c r="B29" s="8">
        <f>IF(A29&lt;=$G$1,E28,"")</f>
        <v/>
      </c>
      <c r="C29" s="8">
        <f>IF(A29&lt;=$G$1,B29*$G$2,"")</f>
        <v/>
      </c>
      <c r="D29" s="8">
        <f>IF(A29&lt;=$G$1,MIN(B29,$G$3-C29),"")</f>
        <v/>
      </c>
      <c r="E29" s="8">
        <f>IF(A29&lt;=$G$1,MAX(0,B29-D29),"")</f>
        <v/>
      </c>
    </row>
    <row r="30">
      <c r="A30" t="n">
        <v>29</v>
      </c>
      <c r="B30" s="8">
        <f>IF(A30&lt;=$G$1,E29,"")</f>
        <v/>
      </c>
      <c r="C30" s="8">
        <f>IF(A30&lt;=$G$1,B30*$G$2,"")</f>
        <v/>
      </c>
      <c r="D30" s="8">
        <f>IF(A30&lt;=$G$1,MIN(B30,$G$3-C30),"")</f>
        <v/>
      </c>
      <c r="E30" s="8">
        <f>IF(A30&lt;=$G$1,MAX(0,B30-D30),"")</f>
        <v/>
      </c>
    </row>
    <row r="31">
      <c r="A31" t="n">
        <v>30</v>
      </c>
      <c r="B31" s="8">
        <f>IF(A31&lt;=$G$1,E30,"")</f>
        <v/>
      </c>
      <c r="C31" s="8">
        <f>IF(A31&lt;=$G$1,B31*$G$2,"")</f>
        <v/>
      </c>
      <c r="D31" s="8">
        <f>IF(A31&lt;=$G$1,MIN(B31,$G$3-C31),"")</f>
        <v/>
      </c>
      <c r="E31" s="8">
        <f>IF(A31&lt;=$G$1,MAX(0,B31-D31),"")</f>
        <v/>
      </c>
    </row>
  </sheetData>
  <pageMargins left="0.75" right="0.75" top="1" bottom="1" header="0.5" footer="0.5"/>
  <drawing xmlns:r="http://schemas.openxmlformats.org/officeDocument/2006/relationships" r:id="rId1"/>
</worksheet>
</file>

<file path=xl/worksheets/sheet3.xml><?xml version="1.0" encoding="utf-8"?>
<worksheet xmlns="http://schemas.openxmlformats.org/spreadsheetml/2006/main">
  <sheetPr>
    <outlinePr summaryBelow="1" summaryRight="1"/>
    <pageSetUpPr/>
  </sheetPr>
  <dimension ref="A1:B12"/>
  <sheetViews>
    <sheetView showGridLines="0" workbookViewId="0">
      <selection activeCell="A1" sqref="A1"/>
    </sheetView>
  </sheetViews>
  <sheetFormatPr baseColWidth="8" defaultRowHeight="15"/>
  <cols>
    <col width="24" customWidth="1" min="1" max="1"/>
    <col width="100" customWidth="1" min="2" max="2"/>
  </cols>
  <sheetData>
    <row r="1">
      <c r="A1" s="28" t="inlineStr">
        <is>
          <t>Titre</t>
        </is>
      </c>
      <c r="B1" s="29" t="inlineStr">
        <is>
          <t>LOCAL COMMERCIAL A VENDRE</t>
        </is>
      </c>
    </row>
    <row r="2">
      <c r="A2" s="28" t="inlineStr">
        <is>
          <t>Lien</t>
        </is>
      </c>
      <c r="B2" s="30" t="inlineStr">
        <is>
          <t>https://www.bureauxlocaux.com/annonce/local-commercial-a-vendre--42380735</t>
        </is>
      </c>
    </row>
    <row r="3">
      <c r="A3" s="28" t="inlineStr">
        <is>
          <t>Ville</t>
        </is>
      </c>
      <c r="B3" s="29" t="inlineStr">
        <is>
          <t>Bondy (93140)</t>
        </is>
      </c>
    </row>
    <row r="4">
      <c r="A4" s="28" t="inlineStr">
        <is>
          <t>Source</t>
        </is>
      </c>
      <c r="B4" s="29" t="inlineStr">
        <is>
          <t>bureauxlocaux</t>
        </is>
      </c>
    </row>
    <row r="5">
      <c r="A5" s="28" t="inlineStr">
        <is>
          <t>Première détection</t>
        </is>
      </c>
      <c r="B5" s="29" t="inlineStr">
        <is>
          <t>2026-09-29</t>
        </is>
      </c>
    </row>
    <row r="6">
      <c r="A6" s="28" t="inlineStr">
        <is>
          <t>Type</t>
        </is>
      </c>
      <c r="B6" s="29" t="inlineStr">
        <is>
          <t>Murs libres</t>
        </is>
      </c>
    </row>
    <row r="7">
      <c r="A7" s="28" t="inlineStr">
        <is>
          <t>Caractéristiques</t>
        </is>
      </c>
      <c r="B7" s="29" t="inlineStr">
        <is>
          <t>—</t>
        </is>
      </c>
    </row>
    <row r="8">
      <c r="A8" s="28" t="inlineStr">
        <is>
          <t>Évolution du prix</t>
        </is>
      </c>
      <c r="B8" s="29" t="inlineStr">
        <is>
          <t>stable depuis la première vue</t>
        </is>
      </c>
    </row>
    <row r="9">
      <c r="A9" s="28" t="inlineStr">
        <is>
          <t>Fourchette de marché</t>
        </is>
      </c>
      <c r="B9" s="29" t="inlineStr">
        <is>
          <t>28 ventes réelles 2023-2025 (DVF)</t>
        </is>
      </c>
    </row>
    <row r="10">
      <c r="A10" s="28" t="inlineStr">
        <is>
          <t>Lecture du prix</t>
        </is>
      </c>
      <c r="B10" s="29" t="inlineStr">
        <is>
          <t>Prix cohérent avec le marché local.</t>
        </is>
      </c>
    </row>
    <row r="11">
      <c r="A11" s="28" t="inlineStr">
        <is>
          <t>Alertes</t>
        </is>
      </c>
      <c r="B11" s="29" t="inlineStr">
        <is>
          <t>loyer_estime</t>
        </is>
      </c>
    </row>
    <row r="12" ht="110" customHeight="1">
      <c r="A12" s="28" t="inlineStr">
        <is>
          <t>Description</t>
        </is>
      </c>
      <c r="B12" s="29" t="inlineStr">
        <is>
          <t>Vente de murs libres de local commercial situé sur la ville de Bondy d'une surface de 188m² de plain pied. Le local est livré brut de béton avc fluides en attente et vitrines à poser par le preneur. Le local se situe dans un quartier en pleine rénovation , avec de nombreuses résidences et commerces en pied d'immeuble. Le local se situe à deux pas de la future nouvelle gare Pont de Bondy de la ligne 15 Est. L'accès au local est aisé par la future gare Pont de Bondy, les rocades de la A 3 et A86, nombreux bus. Livraison second semestre 2028 Réf AAL 841200</t>
        </is>
      </c>
    </row>
  </sheetData>
  <hyperlinks>
    <hyperlink xmlns:r="http://schemas.openxmlformats.org/officeDocument/2006/relationships" ref="B2" r:id="rId1"/>
  </hyperlinks>
  <pageMargins left="0.75" right="0.75" top="1" bottom="1" header="0.5" footer="0.5"/>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xmlns:dc="http://purl.org/dc/elements/1.1/" xmlns:dcterms="http://purl.org/dc/terms/" xmlns:xsi="http://www.w3.org/2001/XMLSchema-instance">
  <dc:creator>openpyxl</dc:creator>
  <dcterms:created xsi:type="dcterms:W3CDTF">2026-10-24T23:29:11Z</dcterms:created>
  <dcterms:modified xsi:type="dcterms:W3CDTF">2026-10-24T23:29:11Z</dcterms:modified>
</cp:coreProperties>
</file>