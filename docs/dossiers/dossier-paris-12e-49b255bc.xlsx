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'Synthèse'!$A$1:$C$61</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4">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b val="1"/>
      <color rgb="0098351B"/>
      <sz val="10"/>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2">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9" fillId="0" borderId="1" pivotButton="0" quotePrefix="0" xfId="0"/>
    <xf numFmtId="165" fontId="10" fillId="0" borderId="1" pivotButton="0" quotePrefix="0" xfId="0"/>
    <xf numFmtId="168" fontId="10" fillId="0" borderId="1" pivotButton="0" quotePrefix="0" xfId="0"/>
    <xf numFmtId="2" fontId="10" fillId="0" borderId="1" pivotButton="0" quotePrefix="0" xfId="0"/>
    <xf numFmtId="0" fontId="11"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165" fontId="7" fillId="4" borderId="1" pivotButton="0" quotePrefix="0" xfId="0"/>
    <xf numFmtId="0" fontId="5" fillId="0" borderId="0" applyAlignment="1" pivotButton="0" quotePrefix="0" xfId="0">
      <alignment vertical="center" wrapText="1"/>
    </xf>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8" fillId="0" borderId="0" applyAlignment="1" pivotButton="0" quotePrefix="0" xfId="0">
      <alignment vertical="top" wrapText="1"/>
    </xf>
    <xf numFmtId="0" fontId="6" fillId="2" borderId="0" applyAlignment="1" pivotButton="0" quotePrefix="0" xfId="0">
      <alignment vertical="center" wrapText="1"/>
    </xf>
    <xf numFmtId="0" fontId="12" fillId="0" borderId="0" pivotButton="0" quotePrefix="0" xfId="0"/>
    <xf numFmtId="0" fontId="0" fillId="0" borderId="0" applyAlignment="1" pivotButton="0" quotePrefix="0" xfId="0">
      <alignment vertical="top" wrapText="1"/>
    </xf>
    <xf numFmtId="0" fontId="13"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geolocaux.com/annonce/local-commercial-neuf-vefa-paris-12e-quartier-nation-picpus-711297.html"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geolocaux.com/annonce/local-commercial-neuf-vefa-paris-12e-quartier-nation-picpus-711297.html" TargetMode="External" Id="rId1" /></Relationships>
</file>

<file path=xl/worksheets/sheet1.xml><?xml version="1.0" encoding="utf-8"?>
<worksheet xmlns="http://schemas.openxmlformats.org/spreadsheetml/2006/main">
  <sheetPr>
    <outlinePr summaryBelow="1" summaryRight="1"/>
    <pageSetUpPr fitToPage="1"/>
  </sheetPr>
  <dimension ref="A1:F60"/>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Local commercial neuf VEFA Paris 12e - Quartier Nation/Picpus</t>
        </is>
      </c>
    </row>
    <row r="4">
      <c r="A4" s="4" t="inlineStr">
        <is>
          <t>Paris 12e (75012) — annonce geolocaux du 2026-07-06</t>
        </is>
      </c>
      <c r="C4" s="5" t="inlineStr">
        <is>
          <t>Voir l'annonce en ligne ↗</t>
        </is>
      </c>
    </row>
    <row r="5">
      <c r="A5" s="6" t="inlineStr">
        <is>
          <t>Dossier généré le 19/09/2026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B25</f>
        <v/>
      </c>
      <c r="E8" s="6" t="inlineStr">
        <is>
          <t>Crédit + charges / mois</t>
        </is>
      </c>
      <c r="F8" s="8">
        <f>B38-(B43+B44+B45)/12</f>
        <v/>
      </c>
    </row>
    <row r="9">
      <c r="A9" s="9" t="inlineStr">
        <is>
          <t>Apport nécessaire</t>
        </is>
      </c>
      <c r="B9" s="10">
        <f>B36</f>
        <v/>
      </c>
      <c r="E9" s="6" t="inlineStr">
        <is>
          <t>Cash-flow</t>
        </is>
      </c>
      <c r="F9" s="8">
        <f>B49</f>
        <v/>
      </c>
    </row>
    <row r="10">
      <c r="A10" s="9" t="inlineStr">
        <is>
          <t>Mensualité de crédit estimée</t>
        </is>
      </c>
      <c r="B10" s="11">
        <f>B38</f>
        <v/>
      </c>
    </row>
    <row r="11">
      <c r="A11" s="9" t="inlineStr">
        <is>
          <t>Cash-flow mensuel attendu</t>
        </is>
      </c>
      <c r="B11" s="11">
        <f>B49</f>
        <v/>
      </c>
    </row>
    <row r="12">
      <c r="A12" s="9" t="inlineStr">
        <is>
          <t>DSCR (≥ 1,20 rassure)</t>
        </is>
      </c>
      <c r="B12" s="12">
        <f>B54</f>
        <v/>
      </c>
    </row>
    <row r="13">
      <c r="A13" s="13" t="inlineStr">
        <is>
          <t>EN CLAIR — Sur la base d'un loyer ESTIMÉ (pas de bail signé à ce stade) : aux hypothèses de ce dossier (apport 20 %, crédit 4,9 % sur 20 ans, charges provisionnées), le bien s'autofinance : le loyer couvre crédit et charges et laisse environ +1 112 €/mois.</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123</v>
      </c>
    </row>
    <row r="18">
      <c r="A18" s="14" t="inlineStr">
        <is>
          <t>Prix affiché</t>
        </is>
      </c>
      <c r="B18" s="17" t="n">
        <v>348712</v>
      </c>
    </row>
    <row r="19">
      <c r="A19" s="14" t="inlineStr">
        <is>
          <t>Prix au m²</t>
        </is>
      </c>
      <c r="B19" s="17">
        <f>IFERROR(B18/B17,"")</f>
        <v/>
      </c>
    </row>
    <row r="20">
      <c r="A20" s="14" t="inlineStr">
        <is>
          <t>Loyer mensuel HT</t>
        </is>
      </c>
      <c r="B20" s="18" t="n">
        <v>3587.5</v>
      </c>
      <c r="C20" s="19" t="inlineStr">
        <is>
          <t>ESTIMATION au loyer de marché local — aucun bail ne le garantit</t>
        </is>
      </c>
    </row>
    <row r="21">
      <c r="A21" s="14" t="inlineStr">
        <is>
          <t>Marché local (prix/m²)</t>
        </is>
      </c>
      <c r="B21" s="15" t="inlineStr">
        <is>
          <t>4 876 à 9 118 €/m²</t>
        </is>
      </c>
      <c r="C21" s="19" t="inlineStr">
        <is>
          <t>ce bien est 61 % SOUS la médiane locale</t>
        </is>
      </c>
    </row>
    <row r="22">
      <c r="A22" s="14" t="inlineStr">
        <is>
          <t>Source de la fourchette</t>
        </is>
      </c>
      <c r="B22" s="15" t="inlineStr">
        <is>
          <t>300 ventes réelles 2023-2025 (DVF)</t>
        </is>
      </c>
      <c r="C22" s="19" t="inlineStr">
        <is>
          <t>DVF = prix réellement payés, enregistrés chez le notaire (data.gouv.fr)</t>
        </is>
      </c>
    </row>
    <row r="24" ht="18" customHeight="1">
      <c r="A24" s="7" t="inlineStr">
        <is>
          <t>HYPOTHÈSES — cellules jaunes à ajuster avec votre conseiller</t>
        </is>
      </c>
    </row>
    <row r="25">
      <c r="A25" s="14" t="inlineStr">
        <is>
          <t>Prix négocié retenu</t>
        </is>
      </c>
      <c r="B25" s="18" t="n">
        <v>348712</v>
      </c>
      <c r="C25" s="19" t="inlineStr">
        <is>
          <t>par défaut le prix affiché — un prix demandé se négocie</t>
        </is>
      </c>
    </row>
    <row r="26">
      <c r="A26" s="14" t="inlineStr">
        <is>
          <t>Frais d'acquisition (notaire, garanties)</t>
        </is>
      </c>
      <c r="B26" s="20" t="n">
        <v>0.08</v>
      </c>
    </row>
    <row r="27">
      <c r="A27" s="14" t="inlineStr">
        <is>
          <t>Apport personnel</t>
        </is>
      </c>
      <c r="B27" s="20" t="n">
        <v>0.2</v>
      </c>
    </row>
    <row r="28">
      <c r="A28" s="14" t="inlineStr">
        <is>
          <t>Taux du crédit (hors assurance)</t>
        </is>
      </c>
      <c r="B28" s="20" t="n">
        <v>0.049</v>
      </c>
    </row>
    <row r="29">
      <c r="A29" s="14" t="inlineStr">
        <is>
          <t>Durée du crédit (années)</t>
        </is>
      </c>
      <c r="B29" s="21" t="n">
        <v>20</v>
      </c>
    </row>
    <row r="30">
      <c r="A30" s="14" t="inlineStr">
        <is>
          <t>Taxe foncière (en mois de loyer par an)</t>
        </is>
      </c>
      <c r="B30" s="22" t="n">
        <v>1</v>
      </c>
      <c r="C30" s="19" t="inlineStr">
        <is>
          <t>à remplacer par le montant réel dès que connu</t>
        </is>
      </c>
    </row>
    <row r="31">
      <c r="A31" s="14" t="inlineStr">
        <is>
          <t>Provision entretien &amp; vacance (% du loyer)</t>
        </is>
      </c>
      <c r="B31" s="20" t="n">
        <v>0.05</v>
      </c>
    </row>
    <row r="32">
      <c r="A32" s="14" t="inlineStr">
        <is>
          <t>Assurance propriétaire (PNO, €/an)</t>
        </is>
      </c>
      <c r="B32" s="18" t="n">
        <v>300</v>
      </c>
    </row>
    <row r="34" ht="18" customHeight="1">
      <c r="A34" s="7" t="inlineStr">
        <is>
          <t>PLAN DE FINANCEMENT</t>
        </is>
      </c>
    </row>
    <row r="35">
      <c r="A35" s="14" t="inlineStr">
        <is>
          <t>Coût d'acquisition total</t>
        </is>
      </c>
      <c r="B35" s="17">
        <f>B25*(1+B26)</f>
        <v/>
      </c>
      <c r="C35" s="19" t="inlineStr">
        <is>
          <t>prix négocié + frais d'acquisition</t>
        </is>
      </c>
    </row>
    <row r="36">
      <c r="A36" s="14" t="inlineStr">
        <is>
          <t>Apport personnel</t>
        </is>
      </c>
      <c r="B36" s="17">
        <f>B35*B27</f>
        <v/>
      </c>
    </row>
    <row r="37">
      <c r="A37" s="14" t="inlineStr">
        <is>
          <t>Montant emprunté</t>
        </is>
      </c>
      <c r="B37" s="17">
        <f>B35-B36</f>
        <v/>
      </c>
    </row>
    <row r="38">
      <c r="A38" s="14" t="inlineStr">
        <is>
          <t>Mensualité du crédit</t>
        </is>
      </c>
      <c r="B38" s="23">
        <f>IFERROR(-PMT(B28/12,B29*12,B37),0)</f>
        <v/>
      </c>
    </row>
    <row r="39">
      <c r="A39" s="14" t="inlineStr">
        <is>
          <t>Service de la dette (annuel)</t>
        </is>
      </c>
      <c r="B39" s="17">
        <f>B38*12</f>
        <v/>
      </c>
    </row>
    <row r="41" ht="18" customHeight="1">
      <c r="A41" s="7" t="inlineStr">
        <is>
          <t>EXPLOITATION ANNUELLE</t>
        </is>
      </c>
    </row>
    <row r="42">
      <c r="A42" s="14" t="inlineStr">
        <is>
          <t>Loyers annuels HT</t>
        </is>
      </c>
      <c r="B42" s="17">
        <f>IFERROR(B20*12,0)</f>
        <v/>
      </c>
    </row>
    <row r="43">
      <c r="A43" s="14" t="inlineStr">
        <is>
          <t>− Taxe foncière</t>
        </is>
      </c>
      <c r="B43" s="17">
        <f>-IFERROR(B20*B30,0)</f>
        <v/>
      </c>
    </row>
    <row r="44">
      <c r="A44" s="14" t="inlineStr">
        <is>
          <t>− Entretien &amp; vacance locative</t>
        </is>
      </c>
      <c r="B44" s="17">
        <f>-B42*B31</f>
        <v/>
      </c>
    </row>
    <row r="45">
      <c r="A45" s="14" t="inlineStr">
        <is>
          <t>− Assurance PNO</t>
        </is>
      </c>
      <c r="B45" s="17">
        <f>-B32</f>
        <v/>
      </c>
    </row>
    <row r="46">
      <c r="A46" s="14" t="inlineStr">
        <is>
          <t>Revenu net avant crédit</t>
        </is>
      </c>
      <c r="B46" s="17">
        <f>B42+B43+B44+B45</f>
        <v/>
      </c>
    </row>
    <row r="47">
      <c r="A47" s="14" t="inlineStr">
        <is>
          <t>− Remboursement du crédit</t>
        </is>
      </c>
      <c r="B47" s="17">
        <f>-B39</f>
        <v/>
      </c>
    </row>
    <row r="48">
      <c r="A48" s="14" t="inlineStr">
        <is>
          <t>Cash-flow annuel</t>
        </is>
      </c>
      <c r="B48" s="17">
        <f>B46-B39</f>
        <v/>
      </c>
    </row>
    <row r="49">
      <c r="A49" s="14" t="inlineStr">
        <is>
          <t>Cash-flow mensuel</t>
        </is>
      </c>
      <c r="B49" s="24">
        <f>B48/12</f>
        <v/>
      </c>
      <c r="C49" s="19" t="inlineStr">
        <is>
          <t>positif : le bien se paie tout seul, loyer ≥ crédit + charges</t>
        </is>
      </c>
    </row>
    <row r="51" ht="18" customHeight="1">
      <c r="A51" s="7" t="inlineStr">
        <is>
          <t>LES RATIOS QUE REGARDE LE BANQUIER</t>
        </is>
      </c>
    </row>
    <row r="52">
      <c r="A52" s="14" t="inlineStr">
        <is>
          <t>Rendement brut</t>
        </is>
      </c>
      <c r="B52" s="25">
        <f>IFERROR(B42/B25,"")</f>
        <v/>
      </c>
      <c r="C52" s="19" t="inlineStr">
        <is>
          <t>loyer annuel ÷ prix — la base de comparaison des biens</t>
        </is>
      </c>
    </row>
    <row r="53">
      <c r="A53" s="14" t="inlineStr">
        <is>
          <t>Rendement net avant crédit</t>
        </is>
      </c>
      <c r="B53" s="25">
        <f>IFERROR(B46/B35,"")</f>
        <v/>
      </c>
      <c r="C53" s="19" t="inlineStr">
        <is>
          <t>après taxe foncière, entretien et assurance</t>
        </is>
      </c>
    </row>
    <row r="54">
      <c r="A54" s="14" t="inlineStr">
        <is>
          <t>DSCR — couverture de la dette</t>
        </is>
      </c>
      <c r="B54" s="26">
        <f>IFERROR(B46/B39,"")</f>
        <v/>
      </c>
      <c r="C54" s="19" t="inlineStr">
        <is>
          <t>revenu net ÷ crédit : ≥ 1,20 rassure une banque</t>
        </is>
      </c>
    </row>
    <row r="55">
      <c r="A55" s="14" t="inlineStr">
        <is>
          <t>LTV — part financée par la banque</t>
        </is>
      </c>
      <c r="B55" s="25">
        <f>IFERROR(B37/B25,"")</f>
        <v/>
      </c>
      <c r="C55" s="19" t="inlineStr">
        <is>
          <t>≤ 80 % est la zone de confort bancaire</t>
        </is>
      </c>
    </row>
    <row r="56">
      <c r="A56" s="14" t="inlineStr">
        <is>
          <t>Effort d'épargne mensuel si négatif</t>
        </is>
      </c>
      <c r="B56" s="23">
        <f>MAX(0,-B48/12)</f>
        <v/>
      </c>
    </row>
    <row r="57">
      <c r="A57" s="14" t="inlineStr">
        <is>
          <t>Score de l'outil de veille</t>
        </is>
      </c>
      <c r="B57" s="15" t="inlineStr">
        <is>
          <t>64/100</t>
        </is>
      </c>
      <c r="C57" s="19" t="inlineStr">
        <is>
          <t>rendement, emplacement, prix vs marché, financement, fiscalité</t>
        </is>
      </c>
    </row>
    <row r="59">
      <c r="A59" s="27" t="inlineStr">
        <is>
          <t>⚠ AVERTISSEMENT : le rendement affiché par le vendeur est anormalement élevé. Exiger le bail et les quittances avant toute offre — ce dossier reprend le loyer annoncé tel quel.</t>
        </is>
      </c>
    </row>
    <row r="60"/>
  </sheetData>
  <mergeCells count="12">
    <mergeCell ref="A4:B4"/>
    <mergeCell ref="A41:C41"/>
    <mergeCell ref="A1:C1"/>
    <mergeCell ref="A59:C60"/>
    <mergeCell ref="A3:C3"/>
    <mergeCell ref="A13:C14"/>
    <mergeCell ref="A34:C34"/>
    <mergeCell ref="A15:C15"/>
    <mergeCell ref="A7:C7"/>
    <mergeCell ref="A24:C24"/>
    <mergeCell ref="A2:C2"/>
    <mergeCell ref="A51:C51"/>
  </mergeCells>
  <conditionalFormatting sqref="B48">
    <cfRule type="cellIs" priority="1" operator="greaterThanOrEqual" dxfId="0">
      <formula>0</formula>
    </cfRule>
    <cfRule type="cellIs" priority="2" operator="lessThan" dxfId="1">
      <formula>0</formula>
    </cfRule>
  </conditionalFormatting>
  <conditionalFormatting sqref="B49">
    <cfRule type="cellIs" priority="3" operator="greaterThanOrEqual" dxfId="0">
      <formula>0</formula>
    </cfRule>
    <cfRule type="cellIs" priority="4" operator="lessThan" dxfId="1">
      <formula>0</formula>
    </cfRule>
  </conditionalFormatting>
  <conditionalFormatting sqref="B54">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8" t="inlineStr">
        <is>
          <t>Année</t>
        </is>
      </c>
      <c r="B1" s="28" t="inlineStr">
        <is>
          <t>Capital dû en début d'année</t>
        </is>
      </c>
      <c r="C1" s="28" t="inlineStr">
        <is>
          <t>Intérêts de l'année</t>
        </is>
      </c>
      <c r="D1" s="28" t="inlineStr">
        <is>
          <t>Capital remboursé</t>
        </is>
      </c>
      <c r="E1" s="28" t="inlineStr">
        <is>
          <t>Capital restant dû</t>
        </is>
      </c>
      <c r="G1">
        <f>'Synthèse'!B29</f>
        <v/>
      </c>
    </row>
    <row r="2">
      <c r="A2" t="n">
        <v>1</v>
      </c>
      <c r="B2" s="8">
        <f>IF(A2&lt;=$G$1,'Synthèse'!$B$37,"")</f>
        <v/>
      </c>
      <c r="C2" s="8">
        <f>IF(A2&lt;=$G$1,B2*$G$2,"")</f>
        <v/>
      </c>
      <c r="D2" s="8">
        <f>IF(A2&lt;=$G$1,MIN(B2,$G$3-C2),"")</f>
        <v/>
      </c>
      <c r="E2" s="8">
        <f>IF(A2&lt;=$G$1,MAX(0,B2-D2),"")</f>
        <v/>
      </c>
      <c r="F2" s="6" t="inlineStr">
        <is>
          <t>Tableau indicatif (pas annuel) — l'offre de prêt de la banque fait foi.</t>
        </is>
      </c>
      <c r="G2">
        <f>'Synthèse'!B28</f>
        <v/>
      </c>
    </row>
    <row r="3">
      <c r="A3" t="n">
        <v>2</v>
      </c>
      <c r="B3" s="8">
        <f>IF(A3&lt;=$G$1,E2,"")</f>
        <v/>
      </c>
      <c r="C3" s="8">
        <f>IF(A3&lt;=$G$1,B3*$G$2,"")</f>
        <v/>
      </c>
      <c r="D3" s="8">
        <f>IF(A3&lt;=$G$1,MIN(B3,$G$3-C3),"")</f>
        <v/>
      </c>
      <c r="E3" s="8">
        <f>IF(A3&lt;=$G$1,MAX(0,B3-D3),"")</f>
        <v/>
      </c>
      <c r="G3">
        <f>'Synthèse'!B39</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9" t="inlineStr">
        <is>
          <t>Titre</t>
        </is>
      </c>
      <c r="B1" s="30" t="inlineStr">
        <is>
          <t>Local commercial neuf VEFA Paris 12e - Quartier Nation/Picpus</t>
        </is>
      </c>
    </row>
    <row r="2">
      <c r="A2" s="29" t="inlineStr">
        <is>
          <t>Lien</t>
        </is>
      </c>
      <c r="B2" s="31" t="inlineStr">
        <is>
          <t>https://www.geolocaux.com/annonce/local-commercial-neuf-vefa-paris-12e-quartier-nation-picpus-711297.html</t>
        </is>
      </c>
    </row>
    <row r="3">
      <c r="A3" s="29" t="inlineStr">
        <is>
          <t>Ville</t>
        </is>
      </c>
      <c r="B3" s="30" t="inlineStr">
        <is>
          <t>Paris 12e (75012)</t>
        </is>
      </c>
    </row>
    <row r="4">
      <c r="A4" s="29" t="inlineStr">
        <is>
          <t>Source</t>
        </is>
      </c>
      <c r="B4" s="30" t="inlineStr">
        <is>
          <t>geolocaux</t>
        </is>
      </c>
    </row>
    <row r="5">
      <c r="A5" s="29" t="inlineStr">
        <is>
          <t>Première détection</t>
        </is>
      </c>
      <c r="B5" s="30" t="inlineStr">
        <is>
          <t>2026-07-06</t>
        </is>
      </c>
    </row>
    <row r="6">
      <c r="A6" s="29" t="inlineStr">
        <is>
          <t>Type</t>
        </is>
      </c>
      <c r="B6" s="30" t="inlineStr">
        <is>
          <t>Murs libres</t>
        </is>
      </c>
    </row>
    <row r="7">
      <c r="A7" s="29" t="inlineStr">
        <is>
          <t>Caractéristiques</t>
        </is>
      </c>
      <c r="B7" s="30" t="inlineStr">
        <is>
          <t>—</t>
        </is>
      </c>
    </row>
    <row r="8">
      <c r="A8" s="29" t="inlineStr">
        <is>
          <t>Évolution du prix</t>
        </is>
      </c>
      <c r="B8" s="30" t="inlineStr">
        <is>
          <t>stable depuis la première vue</t>
        </is>
      </c>
    </row>
    <row r="9">
      <c r="A9" s="29" t="inlineStr">
        <is>
          <t>Fourchette de marché</t>
        </is>
      </c>
      <c r="B9" s="30" t="inlineStr">
        <is>
          <t>300 ventes réelles 2023-2025 (DVF)</t>
        </is>
      </c>
    </row>
    <row r="10">
      <c r="A10" s="29" t="inlineStr">
        <is>
          <t>Lecture du prix</t>
        </is>
      </c>
      <c r="B10" s="30" t="inlineStr">
        <is>
          <t>Décote lisible : les grandes surfaces se négocient mécaniquement moins cher au m².</t>
        </is>
      </c>
    </row>
    <row r="11">
      <c r="A11" s="29" t="inlineStr">
        <is>
          <t>Alertes</t>
        </is>
      </c>
      <c r="B11" s="30" t="inlineStr">
        <is>
          <t>loyer_estime · rendement_anormalement_eleve</t>
        </is>
      </c>
    </row>
    <row r="12" ht="110" customHeight="1">
      <c r="A12" s="29" t="inlineStr">
        <is>
          <t>Description</t>
        </is>
      </c>
      <c r="B12" s="30" t="inlineStr">
        <is>
          <t>EVOLIS vous propose une opportunité rare au coeur du 12? arrondissement : des locaux commerciaux en VEFA, modernes, lumineux et parfaitement situés dans le secteur Nation / Picpus, un quartier dynamique bénéficiant d'une très forte fréquentation. Ces espaces offrent un excellent potentiel pour une installation professionnelle, un commerce de proximité, un cabinet, un showroom ou toute activité souhaitant s'implanter dans un environnement urbain qualitatif. . Locaux livrés brut . Attentes électriques et eau froide . Portes et baies vitrées . Le lot de 35 m² bénéficie d'une cave . Les lots de 29 m² et 59 m² bénéficient d'une cave et d'un parking Surface RDC : 88,56 m² Situation/Transports : Bus Avenue de Saint-Mandé (64), Docteur Netter (29, 56), Porte de Saint-Mandé (N33) Métro Picpus (6), Porte de Vincennes (1) RER Nation (A) Tram Alexandra David-Néel (T3a), Porte de Vincennes (T3b) Transilien Paris Bercy Bourgogne - Pays d'Auvergne (TER) A 3, A 4 (Entrée), A 3, A 4 (Sortie)</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2026-09-19T23:18:57Z</dcterms:created>
  <dcterms:modified xsi:type="dcterms:W3CDTF">2026-09-19T23:18:57Z</dcterms:modified>
</cp:coreProperties>
</file>