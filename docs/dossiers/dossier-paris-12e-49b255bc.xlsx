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olocaux.com/annonce/local-commercial-neuf-vefa-paris-12e-quartier-nation-picpus-711297.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geolocaux.com/annonce/local-commercial-neuf-vefa-paris-12e-quartier-nation-picpus-711297.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neuf VEFA Paris 12e - Quartier Nation/Picpus</t>
        </is>
      </c>
    </row>
    <row r="4">
      <c r="A4" s="4" t="inlineStr">
        <is>
          <t>Paris 12e (75012) — annonce geolocaux du 2026-07-06</t>
        </is>
      </c>
      <c r="C4" s="5" t="inlineStr">
        <is>
          <t>Voir l'annonce en ligne ↗</t>
        </is>
      </c>
    </row>
    <row r="5">
      <c r="A5" s="6" t="inlineStr">
        <is>
          <t>Dossier généré le 16/10/2026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+1 039 €/mois.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123</v>
      </c>
    </row>
    <row r="18">
      <c r="A18" s="14" t="inlineStr">
        <is>
          <t>Prix affiché</t>
        </is>
      </c>
      <c r="B18" s="17" t="n">
        <v>348712</v>
      </c>
    </row>
    <row r="19">
      <c r="A19" s="14" t="inlineStr">
        <is>
          <t>Prix au m²</t>
        </is>
      </c>
      <c r="B19" s="17">
        <f>IFERROR(B18/B17,"")</f>
        <v/>
      </c>
    </row>
    <row r="20">
      <c r="A20" s="14" t="inlineStr">
        <is>
          <t>Loyer mensuel HT</t>
        </is>
      </c>
      <c r="B20" s="18" t="n">
        <v>3587.5</v>
      </c>
      <c r="C20" s="19" t="inlineStr">
        <is>
          <t>ESTIMATION au loyer de marché local — aucun bail ne le garantit</t>
        </is>
      </c>
    </row>
    <row r="21">
      <c r="A21" s="14" t="inlineStr">
        <is>
          <t>Marché local (prix/m²)</t>
        </is>
      </c>
      <c r="B21" s="15" t="inlineStr">
        <is>
          <t>4 876 à 9 118 €/m²</t>
        </is>
      </c>
      <c r="C21" s="19" t="inlineStr">
        <is>
          <t>ce bien est 61 % SOUS la médiane locale</t>
        </is>
      </c>
    </row>
    <row r="22">
      <c r="A22" s="14" t="inlineStr">
        <is>
          <t>Source de la fourchette</t>
        </is>
      </c>
      <c r="B22" s="15" t="inlineStr">
        <is>
          <t>300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348712</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Local commercial neuf VEFA Paris 12e - Quartier Nation/Picpus</t>
        </is>
      </c>
    </row>
    <row r="2">
      <c r="A2" s="29" t="inlineStr">
        <is>
          <t>Lien</t>
        </is>
      </c>
      <c r="B2" s="31" t="inlineStr">
        <is>
          <t>https://www.geolocaux.com/annonce/local-commercial-neuf-vefa-paris-12e-quartier-nation-picpus-711297.html</t>
        </is>
      </c>
    </row>
    <row r="3">
      <c r="A3" s="29" t="inlineStr">
        <is>
          <t>Ville</t>
        </is>
      </c>
      <c r="B3" s="30" t="inlineStr">
        <is>
          <t>Paris 12e (75012)</t>
        </is>
      </c>
    </row>
    <row r="4">
      <c r="A4" s="29" t="inlineStr">
        <is>
          <t>Source</t>
        </is>
      </c>
      <c r="B4" s="30" t="inlineStr">
        <is>
          <t>geolocaux</t>
        </is>
      </c>
    </row>
    <row r="5">
      <c r="A5" s="29" t="inlineStr">
        <is>
          <t>Première détection</t>
        </is>
      </c>
      <c r="B5" s="30" t="inlineStr">
        <is>
          <t>2026-07-06</t>
        </is>
      </c>
    </row>
    <row r="6">
      <c r="A6" s="29" t="inlineStr">
        <is>
          <t>Type</t>
        </is>
      </c>
      <c r="B6" s="30" t="inlineStr">
        <is>
          <t>Murs libres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300 ventes réelles 2023-2025 (DVF)</t>
        </is>
      </c>
    </row>
    <row r="10">
      <c r="A10" s="29" t="inlineStr">
        <is>
          <t>Lecture du prix</t>
        </is>
      </c>
      <c r="B10" s="30" t="inlineStr">
        <is>
          <t>Décote lisible : les grandes surfaces se négocient mécaniquement moins cher au m².</t>
        </is>
      </c>
    </row>
    <row r="11">
      <c r="A11" s="29" t="inlineStr">
        <is>
          <t>Alertes</t>
        </is>
      </c>
      <c r="B11" s="30" t="inlineStr">
        <is>
          <t>loyer_estime · rendement_anormalement_eleve</t>
        </is>
      </c>
    </row>
    <row r="12" ht="110" customHeight="1">
      <c r="A12" s="29" t="inlineStr">
        <is>
          <t>Description</t>
        </is>
      </c>
      <c r="B12" s="30" t="inlineStr">
        <is>
          <t>EVOLIS vous propose une opportunité rare au coeur du 12? arrondissement : des locaux commerciaux en VEFA, modernes, lumineux et parfaitement situés dans le secteur Nation / Picpus, un quartier dynamique bénéficiant d'une très forte fréquentation. Ces espaces offrent un excellent potentiel pour une installation professionnelle, un commerce de proximité, un cabinet, un showroom ou toute activité souhaitant s'implanter dans un environnement urbain qualitatif. . Locaux livrés brut . Attentes électriques et eau froide . Portes et baies vitrées . Le lot de 35 m² bénéficie d'une cave . Les lots de 29 m² et 59 m² bénéficient d'une cave et d'un parking Surface RDC : 88,56 m² Situation/Transports : Bus Avenue de Saint-Mandé (64), Docteur Netter (29, 56), Porte de Saint-Mandé (N33) Métro Picpus (6), Porte de Vincennes (1) RER Nation (A) Tram Alexandra David-Néel (T3a), Porte de Vincennes (T3b) Transilien Paris Bercy Bourgogne - Pays d'Auvergne (TER) A 3, A 4 (Entrée), A 3, A 4 (Sortie)</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2026-10-16T10:04:22Z</dcterms:created>
  <dcterms:modified xsi:type="dcterms:W3CDTF">2026-10-16T10:04:22Z</dcterms:modified>
</cp:coreProperties>
</file>