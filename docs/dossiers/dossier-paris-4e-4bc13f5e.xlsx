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'Synthèse'!$A$1:$C$61</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eter-local-commercial-boutique-paris-4e-75004,2795650,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eter-local-commercial-boutique-paris-4e-75004,2795650,A,offre.html" TargetMode="External" Id="rId1" /></Relationships>
</file>

<file path=xl/worksheets/sheet1.xml><?xml version="1.0" encoding="utf-8"?>
<worksheet xmlns="http://schemas.openxmlformats.org/spreadsheetml/2006/main">
  <sheetPr>
    <outlinePr summaryBelow="1" summaryRight="1"/>
    <pageSetUpPr fitToPage="1"/>
  </sheetPr>
  <dimension ref="A1:F60"/>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Vente Local commercial 72m² Paris</t>
        </is>
      </c>
    </row>
    <row r="4">
      <c r="A4" s="4" t="inlineStr">
        <is>
          <t>Paris 4e (75004) — annonce cessionpme du 2026-09-26</t>
        </is>
      </c>
      <c r="C4" s="5" t="inlineStr">
        <is>
          <t>Voir l'annonce en ligne ↗</t>
        </is>
      </c>
    </row>
    <row r="5">
      <c r="A5" s="6" t="inlineStr">
        <is>
          <t>Dossier généré le 24/10/2026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le bien s'autofinance : le loyer couvre crédit et charges et laisse environ +2 223 €/mois.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72</v>
      </c>
    </row>
    <row r="18">
      <c r="A18" s="14" t="inlineStr">
        <is>
          <t>Prix affiché</t>
        </is>
      </c>
      <c r="B18" s="17" t="n">
        <v>295000</v>
      </c>
    </row>
    <row r="19">
      <c r="A19" s="14" t="inlineStr">
        <is>
          <t>Prix au m²</t>
        </is>
      </c>
      <c r="B19" s="17">
        <f>IFERROR(B18/B17,"")</f>
        <v/>
      </c>
    </row>
    <row r="20">
      <c r="A20" s="14" t="inlineStr">
        <is>
          <t>Loyer mensuel HT</t>
        </is>
      </c>
      <c r="B20" s="17" t="n">
        <v>4590.58</v>
      </c>
      <c r="C20" s="18" t="inlineStr">
        <is>
          <t>loyer du bail en place (à faire confirmer par le bail)</t>
        </is>
      </c>
    </row>
    <row r="21">
      <c r="A21" s="14" t="inlineStr">
        <is>
          <t>Marché local (prix/m²)</t>
        </is>
      </c>
      <c r="B21" s="15" t="inlineStr">
        <is>
          <t>6 323 à 14 912 €/m²</t>
        </is>
      </c>
      <c r="C21" s="18" t="inlineStr">
        <is>
          <t>ce bien est 62 % SOUS la médiane locale</t>
        </is>
      </c>
    </row>
    <row r="22">
      <c r="A22" s="14" t="inlineStr">
        <is>
          <t>Source de la fourchette</t>
        </is>
      </c>
      <c r="B22" s="15" t="inlineStr">
        <is>
          <t>185 ventes réelles 2023-2025 (DVF)</t>
        </is>
      </c>
      <c r="C22" s="18"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9" t="n">
        <v>295000</v>
      </c>
      <c r="C25" s="18"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8" t="inlineStr">
        <is>
          <t>à remplacer par le montant réel dès que connu</t>
        </is>
      </c>
    </row>
    <row r="31">
      <c r="A31" s="14" t="inlineStr">
        <is>
          <t>Provision entretien &amp; vacance (% du loyer)</t>
        </is>
      </c>
      <c r="B31" s="20" t="n">
        <v>0.05</v>
      </c>
    </row>
    <row r="32">
      <c r="A32" s="14" t="inlineStr">
        <is>
          <t>Assurance propriétaire (PNO, €/an)</t>
        </is>
      </c>
      <c r="B32" s="19" t="n">
        <v>300</v>
      </c>
    </row>
    <row r="34" ht="18" customHeight="1">
      <c r="A34" s="7" t="inlineStr">
        <is>
          <t>PLAN DE FINANCEMENT</t>
        </is>
      </c>
    </row>
    <row r="35">
      <c r="A35" s="14" t="inlineStr">
        <is>
          <t>Coût d'acquisition total</t>
        </is>
      </c>
      <c r="B35" s="17">
        <f>B25*(1+B26)</f>
        <v/>
      </c>
      <c r="C35" s="18"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8" t="inlineStr">
        <is>
          <t>positif : le bien se paie tout seul, loyer ≥ crédit + charges</t>
        </is>
      </c>
    </row>
    <row r="51" ht="18" customHeight="1">
      <c r="A51" s="7" t="inlineStr">
        <is>
          <t>LES RATIOS QUE REGARDE LE BANQUIER</t>
        </is>
      </c>
    </row>
    <row r="52">
      <c r="A52" s="14" t="inlineStr">
        <is>
          <t>Rendement brut</t>
        </is>
      </c>
      <c r="B52" s="25">
        <f>IFERROR(B42/B25,"")</f>
        <v/>
      </c>
      <c r="C52" s="18" t="inlineStr">
        <is>
          <t>loyer annuel ÷ prix — la base de comparaison des biens</t>
        </is>
      </c>
    </row>
    <row r="53">
      <c r="A53" s="14" t="inlineStr">
        <is>
          <t>Rendement net avant crédit</t>
        </is>
      </c>
      <c r="B53" s="25">
        <f>IFERROR(B46/B35,"")</f>
        <v/>
      </c>
      <c r="C53" s="18" t="inlineStr">
        <is>
          <t>après taxe foncière, entretien et assurance</t>
        </is>
      </c>
    </row>
    <row r="54">
      <c r="A54" s="14" t="inlineStr">
        <is>
          <t>DSCR — couverture de la dette</t>
        </is>
      </c>
      <c r="B54" s="26">
        <f>IFERROR(B46/B39,"")</f>
        <v/>
      </c>
      <c r="C54" s="18" t="inlineStr">
        <is>
          <t>revenu net ÷ crédit : ≥ 1,20 rassure une banque</t>
        </is>
      </c>
    </row>
    <row r="55">
      <c r="A55" s="14" t="inlineStr">
        <is>
          <t>LTV — part financée par la banque</t>
        </is>
      </c>
      <c r="B55" s="25">
        <f>IFERROR(B37/B25,"")</f>
        <v/>
      </c>
      <c r="C55" s="18"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8" t="inlineStr">
        <is>
          <t>rendement, emplacement, prix vs marché, financement, fiscalité</t>
        </is>
      </c>
    </row>
    <row r="59">
      <c r="A59" s="27" t="inlineStr">
        <is>
          <t>⚠ AVERTISSEMENT : le rendement affiché par le vendeur est anormalement élevé. Exiger le bail et les quittances avant toute offre — ce dossier reprend le loyer annoncé tel quel.</t>
        </is>
      </c>
    </row>
    <row r="60"/>
  </sheetData>
  <mergeCells count="12">
    <mergeCell ref="A4:B4"/>
    <mergeCell ref="A41:C41"/>
    <mergeCell ref="A1:C1"/>
    <mergeCell ref="A59:C60"/>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Vente Local commercial 72m² Paris</t>
        </is>
      </c>
    </row>
    <row r="2">
      <c r="A2" s="29" t="inlineStr">
        <is>
          <t>Lien</t>
        </is>
      </c>
      <c r="B2" s="31" t="inlineStr">
        <is>
          <t>https://www.cessionpme.com/annonce,immo-entreprise-acheter-local-commercial-boutique-paris-4e-75004,2795650,A,offre.html</t>
        </is>
      </c>
    </row>
    <row r="3">
      <c r="A3" s="29" t="inlineStr">
        <is>
          <t>Ville</t>
        </is>
      </c>
      <c r="B3" s="30" t="inlineStr">
        <is>
          <t>Paris 4e (75004)</t>
        </is>
      </c>
    </row>
    <row r="4">
      <c r="A4" s="29" t="inlineStr">
        <is>
          <t>Source</t>
        </is>
      </c>
      <c r="B4" s="30" t="inlineStr">
        <is>
          <t>cessionpme</t>
        </is>
      </c>
    </row>
    <row r="5">
      <c r="A5" s="29" t="inlineStr">
        <is>
          <t>Première détection</t>
        </is>
      </c>
      <c r="B5" s="30" t="inlineStr">
        <is>
          <t>2026-09-26</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185 ventes réelles 2023-2025 (DVF)</t>
        </is>
      </c>
    </row>
    <row r="10">
      <c r="A10" s="29" t="inlineStr">
        <is>
          <t>Lecture du prix</t>
        </is>
      </c>
      <c r="B10" s="30" t="inlineStr">
        <is>
          <t>Décote sans explication visible dans l'annonce : possible bonne affaire — ou défaut caché (état, copropriété, bail) à vérifier sur place.</t>
        </is>
      </c>
    </row>
    <row r="11">
      <c r="A11" s="29" t="inlineStr">
        <is>
          <t>Alertes</t>
        </is>
      </c>
      <c r="B11" s="30" t="inlineStr">
        <is>
          <t>loyer_estime · rendement_anormalement_eleve</t>
        </is>
      </c>
    </row>
    <row r="12" ht="110" customHeight="1">
      <c r="A12" s="29" t="inlineStr">
        <is>
          <t>Description</t>
        </is>
      </c>
      <c r="B12" s="30" t="inlineStr">
        <is>
          <t>Notre équipe vous propose, un local commercial de 72m² dont 30m² de sous sol, accessible par le magasin dans un environnement exceptionnel et très commerçant de la capital et proche du BHV. Métro Hôtel de Ville (Ligne 1, Ligne 11), Châtelet (Ligne 4, Ligne 7, Ligne 14) RER Chatelet-Les Halles (Ligne A, Ligne B, Ligne D), Saint-Michel Notre Dame (Ligne C) Transilien Châtelet les Halles (Ligne RER A, Ligne RER B, Ligne RER D), Saint-Michel Notre-Dame (Ligne RER C) SNCF St-Michel-Notre-Dame (France)</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2026-10-24T23:29:07Z</dcterms:created>
  <dcterms:modified xsi:type="dcterms:W3CDTF">2026-10-24T23:29:07Z</dcterms:modified>
</cp:coreProperties>
</file>