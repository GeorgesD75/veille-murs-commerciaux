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ynthèse" sheetId="1" state="visible" r:id="rId1"/>
    <sheet name="Amortissement" sheetId="2" state="visible" r:id="rId2"/>
    <sheet name="Annonce" sheetId="3" state="visible" r:id="rId3"/>
  </sheets>
  <definedNames>
    <definedName name="_xlnm.Print_Area" localSheetId="0">'Synthèse'!$A$1:$C$61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#,##0&quot; m²&quot;"/>
    <numFmt numFmtId="165" formatCode="#,##0&quot; €&quot;"/>
    <numFmt numFmtId="166" formatCode="0.0%"/>
    <numFmt numFmtId="167" formatCode="0.0"/>
    <numFmt numFmtId="168" formatCode="#,##0&quot; €/mois&quot;"/>
  </numFmts>
  <fonts count="14">
    <font>
      <name val="Calibri"/>
      <family val="2"/>
      <color theme="1"/>
      <sz val="11"/>
      <scheme val="minor"/>
    </font>
    <font>
      <name val="Calibri"/>
      <b val="1"/>
      <color rgb="00FFFFFF"/>
      <sz val="17"/>
    </font>
    <font>
      <b val="1"/>
      <sz val="13"/>
    </font>
    <font>
      <name val="Calibri"/>
      <color rgb="00404040"/>
      <sz val="11"/>
    </font>
    <font>
      <color rgb="000563C1"/>
      <sz val="10"/>
      <u val="single"/>
    </font>
    <font>
      <name val="Calibri"/>
      <i val="1"/>
      <color rgb="00808080"/>
      <sz val="9"/>
    </font>
    <font>
      <name val="Calibri"/>
      <b val="1"/>
      <color rgb="00FFFFFF"/>
      <sz val="11"/>
    </font>
    <font>
      <name val="Calibri"/>
      <b val="1"/>
      <sz val="11"/>
    </font>
    <font>
      <b val="1"/>
      <color rgb="0098351B"/>
      <sz val="10"/>
    </font>
    <font>
      <name val="Calibri"/>
      <b val="1"/>
      <color rgb="001D5240"/>
      <sz val="11"/>
    </font>
    <font>
      <name val="Calibri"/>
      <b val="1"/>
      <sz val="14"/>
    </font>
    <font>
      <i val="1"/>
      <sz val="10.5"/>
    </font>
    <font>
      <b val="1"/>
    </font>
    <font>
      <color rgb="000563C1"/>
      <u val="single"/>
    </font>
  </fonts>
  <fills count="5">
    <fill>
      <patternFill/>
    </fill>
    <fill>
      <patternFill patternType="gray125"/>
    </fill>
    <fill>
      <patternFill patternType="solid">
        <fgColor rgb="001D5240"/>
      </patternFill>
    </fill>
    <fill>
      <patternFill patternType="solid">
        <fgColor rgb="00D6A532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bottom style="hair">
        <color rgb="00D9D9D9"/>
      </bottom>
    </border>
  </borders>
  <cellStyleXfs count="1">
    <xf numFmtId="0" fontId="0" fillId="0" borderId="0"/>
  </cellStyleXfs>
  <cellXfs count="32">
    <xf numFmtId="0" fontId="0" fillId="0" borderId="0" pivotButton="0" quotePrefix="0" xfId="0"/>
    <xf numFmtId="0" fontId="1" fillId="2" borderId="0" applyAlignment="1" pivotButton="0" quotePrefix="0" xfId="0">
      <alignment vertical="center" indent="1"/>
    </xf>
    <xf numFmtId="0" fontId="0" fillId="3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2" borderId="0" applyAlignment="1" pivotButton="0" quotePrefix="0" xfId="0">
      <alignment vertical="center" indent="1"/>
    </xf>
    <xf numFmtId="165" fontId="0" fillId="0" borderId="0" pivotButton="0" quotePrefix="0" xfId="0"/>
    <xf numFmtId="0" fontId="9" fillId="0" borderId="1" pivotButton="0" quotePrefix="0" xfId="0"/>
    <xf numFmtId="165" fontId="10" fillId="0" borderId="1" pivotButton="0" quotePrefix="0" xfId="0"/>
    <xf numFmtId="168" fontId="10" fillId="0" borderId="1" pivotButton="0" quotePrefix="0" xfId="0"/>
    <xf numFmtId="2" fontId="10" fillId="0" borderId="1" pivotButton="0" quotePrefix="0" xfId="0"/>
    <xf numFmtId="0" fontId="11" fillId="0" borderId="0" applyAlignment="1" pivotButton="0" quotePrefix="0" xfId="0">
      <alignment vertical="top" wrapText="1"/>
    </xf>
    <xf numFmtId="0" fontId="3" fillId="0" borderId="1" pivotButton="0" quotePrefix="0" xfId="0"/>
    <xf numFmtId="0" fontId="7" fillId="0" borderId="1" pivotButton="0" quotePrefix="0" xfId="0"/>
    <xf numFmtId="164" fontId="7" fillId="0" borderId="1" pivotButton="0" quotePrefix="0" xfId="0"/>
    <xf numFmtId="165" fontId="7" fillId="0" borderId="1" pivotButton="0" quotePrefix="0" xfId="0"/>
    <xf numFmtId="0" fontId="5" fillId="0" borderId="0" applyAlignment="1" pivotButton="0" quotePrefix="0" xfId="0">
      <alignment vertical="center" wrapText="1"/>
    </xf>
    <xf numFmtId="165" fontId="7" fillId="4" borderId="1" pivotButton="0" quotePrefix="0" xfId="0"/>
    <xf numFmtId="166" fontId="7" fillId="4" borderId="1" pivotButton="0" quotePrefix="0" xfId="0"/>
    <xf numFmtId="1" fontId="7" fillId="4" borderId="1" pivotButton="0" quotePrefix="0" xfId="0"/>
    <xf numFmtId="167" fontId="7" fillId="4" borderId="1" pivotButton="0" quotePrefix="0" xfId="0"/>
    <xf numFmtId="168" fontId="7" fillId="0" borderId="1" pivotButton="0" quotePrefix="0" xfId="0"/>
    <xf numFmtId="168" fontId="2" fillId="0" borderId="1" pivotButton="0" quotePrefix="0" xfId="0"/>
    <xf numFmtId="166" fontId="7" fillId="0" borderId="1" pivotButton="0" quotePrefix="0" xfId="0"/>
    <xf numFmtId="2" fontId="7" fillId="0" borderId="1" pivotButton="0" quotePrefix="0" xfId="0"/>
    <xf numFmtId="0" fontId="8" fillId="0" borderId="0" applyAlignment="1" pivotButton="0" quotePrefix="0" xfId="0">
      <alignment vertical="top" wrapText="1"/>
    </xf>
    <xf numFmtId="0" fontId="6" fillId="2" borderId="0" applyAlignment="1" pivotButton="0" quotePrefix="0" xfId="0">
      <alignment vertical="center" wrapText="1"/>
    </xf>
    <xf numFmtId="0" fontId="12" fillId="0" borderId="0" pivotButton="0" quotePrefix="0" xfId="0"/>
    <xf numFmtId="0" fontId="0" fillId="0" borderId="0" applyAlignment="1" pivotButton="0" quotePrefix="0" xfId="0">
      <alignment vertical="top" wrapText="1"/>
    </xf>
    <xf numFmtId="0" fontId="13" fillId="0" borderId="0" applyAlignment="1" pivotButton="0" quotePrefix="0" xfId="0">
      <alignment vertical="top" wrapText="1"/>
    </xf>
  </cellXfs>
  <cellStyles count="1">
    <cellStyle name="Normal" xfId="0" builtinId="0" hidden="0"/>
  </cellStyles>
  <dxfs count="2">
    <dxf>
      <fill>
        <patternFill patternType="solid">
          <fgColor rgb="00E2EFDA"/>
        </patternFill>
      </fill>
    </dxf>
    <dxf>
      <fill>
        <patternFill patternType="solid">
          <fgColor rgb="00FCE4E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Le loyer paie-t-il le crédit ?</a:t>
            </a:r>
          </a:p>
        </rich>
      </tx>
    </title>
    <plotArea>
      <barChart>
        <barDir val="col"/>
        <grouping val="clustered"/>
        <ser>
          <idx val="0"/>
          <order val="0"/>
          <spPr>
            <a:solidFill>
              <a:srgbClr val="1D5240"/>
            </a:solidFill>
            <a:ln>
              <a:prstDash val="solid"/>
            </a:ln>
          </spPr>
          <cat>
            <numRef>
              <f>'Synthèse'!$E$7:$E$9</f>
            </numRef>
          </cat>
          <val>
            <numRef>
              <f>'Synthèse'!$F$7:$F$9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numFmt formatCode="#,##0&quot; €&quot;" sourceLinked="0"/>
        <majorTickMark val="none"/>
        <minorTickMark val="none"/>
        <crossAx val="10"/>
      </valAx>
    </plotArea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Capital restant dû</a:t>
            </a:r>
          </a:p>
        </rich>
      </tx>
    </title>
    <plotArea>
      <lineChart>
        <grouping val="standard"/>
        <ser>
          <idx val="0"/>
          <order val="0"/>
          <spPr>
            <a:ln w="22000">
              <a:solidFill>
                <a:srgbClr val="1D5240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'Amortissement'!$A$2:$A$31</f>
            </numRef>
          </cat>
          <val>
            <numRef>
              <f>'Amortissement'!$E$2:$E$31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Année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numFmt formatCode="#,##0&quot; €&quot;" sourceLinked="0"/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4</col>
      <colOff>0</colOff>
      <row>10</row>
      <rowOff>0</rowOff>
    </from>
    <ext cx="432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8</col>
      <colOff>0</colOff>
      <row>1</row>
      <rowOff>0</rowOff>
    </from>
    <ext cx="5760000" cy="32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cessionpme.com/annonce,immo-entreprise-achat-bar-brasserie-tabac-saint-denis,2742280,A,offre.html" TargetMode="External" Id="rId1" /><Relationship Type="http://schemas.openxmlformats.org/officeDocument/2006/relationships/drawing" Target="/xl/drawings/drawing1.xml" Id="rId2" 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 /></Relationships>
</file>

<file path=xl/worksheets/_rels/sheet3.xml.rels><Relationships xmlns="http://schemas.openxmlformats.org/package/2006/relationships"><Relationship Type="http://schemas.openxmlformats.org/officeDocument/2006/relationships/hyperlink" Target="https://www.cessionpme.com/annonce,immo-entreprise-achat-bar-brasserie-tabac-saint-denis,2742280,A,offre.html" TargetMode="Externa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60"/>
  <sheetViews>
    <sheetView showGridLines="0" workbookViewId="0">
      <selection activeCell="A1" sqref="A1"/>
    </sheetView>
  </sheetViews>
  <sheetFormatPr baseColWidth="8" defaultRowHeight="15"/>
  <cols>
    <col width="38" customWidth="1" min="1" max="1"/>
    <col width="17" customWidth="1" min="2" max="2"/>
    <col width="46" customWidth="1" min="3" max="3"/>
  </cols>
  <sheetData>
    <row r="1" ht="34" customHeight="1">
      <c r="A1" s="1" t="inlineStr">
        <is>
          <t>Les Murs.   Dossier de financement — murs commerciaux</t>
        </is>
      </c>
    </row>
    <row r="2" ht="3" customHeight="1">
      <c r="A2" s="2" t="n"/>
    </row>
    <row r="3">
      <c r="A3" s="3" t="inlineStr">
        <is>
          <t>Vente local restaurant bar de 112m² à Saint-Denis</t>
        </is>
      </c>
    </row>
    <row r="4">
      <c r="A4" s="4" t="inlineStr">
        <is>
          <t>Saint-Denis (93200) — annonce cessionpme du 2026-07-20</t>
        </is>
      </c>
      <c r="C4" s="5" t="inlineStr">
        <is>
          <t>Voir l'annonce en ligne ↗</t>
        </is>
      </c>
    </row>
    <row r="5">
      <c r="A5" s="6" t="inlineStr">
        <is>
          <t>Dossier généré le 02/08/2026 — indicatif, l'offre de prêt de la banque fait foi.</t>
        </is>
      </c>
    </row>
    <row r="7" ht="18" customHeight="1">
      <c r="A7" s="7" t="inlineStr">
        <is>
          <t>L'ESSENTIEL — ce que votre conseiller lit en premier</t>
        </is>
      </c>
      <c r="E7" s="6" t="inlineStr">
        <is>
          <t>Loyer mensuel</t>
        </is>
      </c>
      <c r="F7" s="8">
        <f>IFERROR(B20,0)</f>
        <v/>
      </c>
    </row>
    <row r="8">
      <c r="A8" s="9" t="inlineStr">
        <is>
          <t>Prix d'achat retenu</t>
        </is>
      </c>
      <c r="B8" s="10">
        <f>B25</f>
        <v/>
      </c>
      <c r="E8" s="6" t="inlineStr">
        <is>
          <t>Crédit + charges / mois</t>
        </is>
      </c>
      <c r="F8" s="8">
        <f>B38-(B43+B44+B45)/12</f>
        <v/>
      </c>
    </row>
    <row r="9">
      <c r="A9" s="9" t="inlineStr">
        <is>
          <t>Apport nécessaire</t>
        </is>
      </c>
      <c r="B9" s="10">
        <f>B36</f>
        <v/>
      </c>
      <c r="E9" s="6" t="inlineStr">
        <is>
          <t>Cash-flow</t>
        </is>
      </c>
      <c r="F9" s="8">
        <f>B49</f>
        <v/>
      </c>
    </row>
    <row r="10">
      <c r="A10" s="9" t="inlineStr">
        <is>
          <t>Mensualité de crédit estimée</t>
        </is>
      </c>
      <c r="B10" s="11">
        <f>B38</f>
        <v/>
      </c>
    </row>
    <row r="11">
      <c r="A11" s="9" t="inlineStr">
        <is>
          <t>Cash-flow mensuel attendu</t>
        </is>
      </c>
      <c r="B11" s="11">
        <f>B49</f>
        <v/>
      </c>
    </row>
    <row r="12">
      <c r="A12" s="9" t="inlineStr">
        <is>
          <t>DSCR (≥ 1,20 rassure)</t>
        </is>
      </c>
      <c r="B12" s="12">
        <f>B54</f>
        <v/>
      </c>
    </row>
    <row r="13">
      <c r="A13" s="13" t="inlineStr">
        <is>
          <t>EN CLAIR — aux hypothèses de ce dossier (apport 20 %, crédit 4,58 % sur 20 ans, charges provisionnées), le bien s'autofinance : le loyer couvre crédit et charges et laisse environ +1 564 €/mois.</t>
        </is>
      </c>
    </row>
    <row r="14"/>
    <row r="15" ht="18" customHeight="1">
      <c r="A15" s="7" t="inlineStr">
        <is>
          <t>LE BIEN</t>
        </is>
      </c>
    </row>
    <row r="16">
      <c r="A16" s="14" t="inlineStr">
        <is>
          <t>État locatif</t>
        </is>
      </c>
      <c r="B16" s="15" t="inlineStr">
        <is>
          <t>Murs occupés — un locataire en place paie déjà un loyer</t>
        </is>
      </c>
    </row>
    <row r="17">
      <c r="A17" s="14" t="inlineStr">
        <is>
          <t>Surface</t>
        </is>
      </c>
      <c r="B17" s="16" t="n">
        <v>112</v>
      </c>
    </row>
    <row r="18">
      <c r="A18" s="14" t="inlineStr">
        <is>
          <t>Prix affiché</t>
        </is>
      </c>
      <c r="B18" s="17" t="n">
        <v>262500</v>
      </c>
    </row>
    <row r="19">
      <c r="A19" s="14" t="inlineStr">
        <is>
          <t>Prix au m²</t>
        </is>
      </c>
      <c r="B19" s="17">
        <f>IFERROR(B18/B17,"")</f>
        <v/>
      </c>
    </row>
    <row r="20">
      <c r="A20" s="14" t="inlineStr">
        <is>
          <t>Loyer mensuel HT</t>
        </is>
      </c>
      <c r="B20" s="17" t="n">
        <v>3500</v>
      </c>
      <c r="C20" s="18" t="inlineStr">
        <is>
          <t>loyer du bail en place (à faire confirmer par le bail)</t>
        </is>
      </c>
    </row>
    <row r="21">
      <c r="A21" s="14" t="inlineStr">
        <is>
          <t>Marché local (prix/m²)</t>
        </is>
      </c>
      <c r="B21" s="15" t="inlineStr">
        <is>
          <t>1 646 à 3 979 €/m²</t>
        </is>
      </c>
      <c r="C21" s="18" t="inlineStr">
        <is>
          <t>ce bien est 15 % SOUS la médiane locale</t>
        </is>
      </c>
    </row>
    <row r="22">
      <c r="A22" s="14" t="inlineStr">
        <is>
          <t>Source de la fourchette</t>
        </is>
      </c>
      <c r="B22" s="15" t="inlineStr">
        <is>
          <t>124 ventes réelles 2023-2025 (DVF)</t>
        </is>
      </c>
      <c r="C22" s="18" t="inlineStr">
        <is>
          <t>DVF = prix réellement payés, enregistrés chez le notaire (data.gouv.fr)</t>
        </is>
      </c>
    </row>
    <row r="24" ht="18" customHeight="1">
      <c r="A24" s="7" t="inlineStr">
        <is>
          <t>HYPOTHÈSES — cellules jaunes à ajuster avec votre conseiller</t>
        </is>
      </c>
    </row>
    <row r="25">
      <c r="A25" s="14" t="inlineStr">
        <is>
          <t>Prix négocié retenu</t>
        </is>
      </c>
      <c r="B25" s="19" t="n">
        <v>262500</v>
      </c>
      <c r="C25" s="18" t="inlineStr">
        <is>
          <t>par défaut le prix affiché — un prix demandé se négocie</t>
        </is>
      </c>
    </row>
    <row r="26">
      <c r="A26" s="14" t="inlineStr">
        <is>
          <t>Frais d'acquisition (notaire, garanties)</t>
        </is>
      </c>
      <c r="B26" s="20" t="n">
        <v>0.08</v>
      </c>
    </row>
    <row r="27">
      <c r="A27" s="14" t="inlineStr">
        <is>
          <t>Apport personnel</t>
        </is>
      </c>
      <c r="B27" s="20" t="n">
        <v>0.2</v>
      </c>
    </row>
    <row r="28">
      <c r="A28" s="14" t="inlineStr">
        <is>
          <t>Taux du crédit (hors assurance)</t>
        </is>
      </c>
      <c r="B28" s="20" t="n">
        <v>0.0458</v>
      </c>
    </row>
    <row r="29">
      <c r="A29" s="14" t="inlineStr">
        <is>
          <t>Durée du crédit (années)</t>
        </is>
      </c>
      <c r="B29" s="21" t="n">
        <v>20</v>
      </c>
    </row>
    <row r="30">
      <c r="A30" s="14" t="inlineStr">
        <is>
          <t>Taxe foncière (en mois de loyer par an)</t>
        </is>
      </c>
      <c r="B30" s="22" t="n">
        <v>1</v>
      </c>
      <c r="C30" s="18" t="inlineStr">
        <is>
          <t>à remplacer par le montant réel dès que connu</t>
        </is>
      </c>
    </row>
    <row r="31">
      <c r="A31" s="14" t="inlineStr">
        <is>
          <t>Provision entretien &amp; vacance (% du loyer)</t>
        </is>
      </c>
      <c r="B31" s="20" t="n">
        <v>0.05</v>
      </c>
    </row>
    <row r="32">
      <c r="A32" s="14" t="inlineStr">
        <is>
          <t>Assurance propriétaire (PNO, €/an)</t>
        </is>
      </c>
      <c r="B32" s="19" t="n">
        <v>300</v>
      </c>
    </row>
    <row r="34" ht="18" customHeight="1">
      <c r="A34" s="7" t="inlineStr">
        <is>
          <t>PLAN DE FINANCEMENT</t>
        </is>
      </c>
    </row>
    <row r="35">
      <c r="A35" s="14" t="inlineStr">
        <is>
          <t>Coût d'acquisition total</t>
        </is>
      </c>
      <c r="B35" s="17">
        <f>B25*(1+B26)</f>
        <v/>
      </c>
      <c r="C35" s="18" t="inlineStr">
        <is>
          <t>prix négocié + frais d'acquisition</t>
        </is>
      </c>
    </row>
    <row r="36">
      <c r="A36" s="14" t="inlineStr">
        <is>
          <t>Apport personnel</t>
        </is>
      </c>
      <c r="B36" s="17">
        <f>B35*B27</f>
        <v/>
      </c>
    </row>
    <row r="37">
      <c r="A37" s="14" t="inlineStr">
        <is>
          <t>Montant emprunté</t>
        </is>
      </c>
      <c r="B37" s="17">
        <f>B35-B36</f>
        <v/>
      </c>
    </row>
    <row r="38">
      <c r="A38" s="14" t="inlineStr">
        <is>
          <t>Mensualité du crédit</t>
        </is>
      </c>
      <c r="B38" s="23">
        <f>IFERROR(-PMT(B28/12,B29*12,B37),0)</f>
        <v/>
      </c>
    </row>
    <row r="39">
      <c r="A39" s="14" t="inlineStr">
        <is>
          <t>Service de la dette (annuel)</t>
        </is>
      </c>
      <c r="B39" s="17">
        <f>B38*12</f>
        <v/>
      </c>
    </row>
    <row r="41" ht="18" customHeight="1">
      <c r="A41" s="7" t="inlineStr">
        <is>
          <t>EXPLOITATION ANNUELLE</t>
        </is>
      </c>
    </row>
    <row r="42">
      <c r="A42" s="14" t="inlineStr">
        <is>
          <t>Loyers annuels HT</t>
        </is>
      </c>
      <c r="B42" s="17">
        <f>IFERROR(B20*12,0)</f>
        <v/>
      </c>
    </row>
    <row r="43">
      <c r="A43" s="14" t="inlineStr">
        <is>
          <t>− Taxe foncière</t>
        </is>
      </c>
      <c r="B43" s="17">
        <f>-IFERROR(B20*B30,0)</f>
        <v/>
      </c>
    </row>
    <row r="44">
      <c r="A44" s="14" t="inlineStr">
        <is>
          <t>− Entretien &amp; vacance locative</t>
        </is>
      </c>
      <c r="B44" s="17">
        <f>-B42*B31</f>
        <v/>
      </c>
    </row>
    <row r="45">
      <c r="A45" s="14" t="inlineStr">
        <is>
          <t>− Assurance PNO</t>
        </is>
      </c>
      <c r="B45" s="17">
        <f>-B32</f>
        <v/>
      </c>
    </row>
    <row r="46">
      <c r="A46" s="14" t="inlineStr">
        <is>
          <t>Revenu net avant crédit</t>
        </is>
      </c>
      <c r="B46" s="17">
        <f>B42+B43+B44+B45</f>
        <v/>
      </c>
    </row>
    <row r="47">
      <c r="A47" s="14" t="inlineStr">
        <is>
          <t>− Remboursement du crédit</t>
        </is>
      </c>
      <c r="B47" s="17">
        <f>-B39</f>
        <v/>
      </c>
    </row>
    <row r="48">
      <c r="A48" s="14" t="inlineStr">
        <is>
          <t>Cash-flow annuel</t>
        </is>
      </c>
      <c r="B48" s="17">
        <f>B46-B39</f>
        <v/>
      </c>
    </row>
    <row r="49">
      <c r="A49" s="14" t="inlineStr">
        <is>
          <t>Cash-flow mensuel</t>
        </is>
      </c>
      <c r="B49" s="24">
        <f>B48/12</f>
        <v/>
      </c>
      <c r="C49" s="18" t="inlineStr">
        <is>
          <t>positif : le bien se paie tout seul, loyer ≥ crédit + charges</t>
        </is>
      </c>
    </row>
    <row r="51" ht="18" customHeight="1">
      <c r="A51" s="7" t="inlineStr">
        <is>
          <t>LES RATIOS QUE REGARDE LE BANQUIER</t>
        </is>
      </c>
    </row>
    <row r="52">
      <c r="A52" s="14" t="inlineStr">
        <is>
          <t>Rendement brut</t>
        </is>
      </c>
      <c r="B52" s="25">
        <f>IFERROR(B42/B25,"")</f>
        <v/>
      </c>
      <c r="C52" s="18" t="inlineStr">
        <is>
          <t>loyer annuel ÷ prix — la base de comparaison des biens</t>
        </is>
      </c>
    </row>
    <row r="53">
      <c r="A53" s="14" t="inlineStr">
        <is>
          <t>Rendement net avant crédit</t>
        </is>
      </c>
      <c r="B53" s="25">
        <f>IFERROR(B46/B35,"")</f>
        <v/>
      </c>
      <c r="C53" s="18" t="inlineStr">
        <is>
          <t>après taxe foncière, entretien et assurance</t>
        </is>
      </c>
    </row>
    <row r="54">
      <c r="A54" s="14" t="inlineStr">
        <is>
          <t>DSCR — couverture de la dette</t>
        </is>
      </c>
      <c r="B54" s="26">
        <f>IFERROR(B46/B39,"")</f>
        <v/>
      </c>
      <c r="C54" s="18" t="inlineStr">
        <is>
          <t>revenu net ÷ crédit : ≥ 1,20 rassure une banque</t>
        </is>
      </c>
    </row>
    <row r="55">
      <c r="A55" s="14" t="inlineStr">
        <is>
          <t>LTV — part financée par la banque</t>
        </is>
      </c>
      <c r="B55" s="25">
        <f>IFERROR(B37/B25,"")</f>
        <v/>
      </c>
      <c r="C55" s="18" t="inlineStr">
        <is>
          <t>≤ 80 % est la zone de confort bancaire</t>
        </is>
      </c>
    </row>
    <row r="56">
      <c r="A56" s="14" t="inlineStr">
        <is>
          <t>Effort d'épargne mensuel si négatif</t>
        </is>
      </c>
      <c r="B56" s="23">
        <f>MAX(0,-B48/12)</f>
        <v/>
      </c>
    </row>
    <row r="57">
      <c r="A57" s="14" t="inlineStr">
        <is>
          <t>Score de l'outil de veille</t>
        </is>
      </c>
      <c r="B57" s="15" t="inlineStr">
        <is>
          <t>64/100</t>
        </is>
      </c>
      <c r="C57" s="18" t="inlineStr">
        <is>
          <t>rendement, emplacement, prix vs marché, financement, fiscalité</t>
        </is>
      </c>
    </row>
    <row r="59">
      <c r="A59" s="27" t="inlineStr">
        <is>
          <t>⚠ AVERTISSEMENT : le rendement affiché par le vendeur est anormalement élevé. Exiger le bail et les quittances avant toute offre — ce dossier reprend le loyer annoncé tel quel.</t>
        </is>
      </c>
    </row>
    <row r="60"/>
  </sheetData>
  <mergeCells count="12">
    <mergeCell ref="A4:B4"/>
    <mergeCell ref="A41:C41"/>
    <mergeCell ref="A1:C1"/>
    <mergeCell ref="A59:C60"/>
    <mergeCell ref="A3:C3"/>
    <mergeCell ref="A13:C14"/>
    <mergeCell ref="A34:C34"/>
    <mergeCell ref="A15:C15"/>
    <mergeCell ref="A7:C7"/>
    <mergeCell ref="A24:C24"/>
    <mergeCell ref="A2:C2"/>
    <mergeCell ref="A51:C51"/>
  </mergeCells>
  <conditionalFormatting sqref="B48">
    <cfRule type="cellIs" priority="1" operator="greaterThanOrEqual" dxfId="0">
      <formula>0</formula>
    </cfRule>
    <cfRule type="cellIs" priority="2" operator="lessThan" dxfId="1">
      <formula>0</formula>
    </cfRule>
  </conditionalFormatting>
  <conditionalFormatting sqref="B49">
    <cfRule type="cellIs" priority="3" operator="greaterThanOrEqual" dxfId="0">
      <formula>0</formula>
    </cfRule>
    <cfRule type="cellIs" priority="4" operator="lessThan" dxfId="1">
      <formula>0</formula>
    </cfRule>
  </conditionalFormatting>
  <conditionalFormatting sqref="B54">
    <cfRule type="cellIs" priority="5" operator="greaterThanOrEqual" dxfId="0">
      <formula>1.2</formula>
    </cfRule>
    <cfRule type="cellIs" priority="6" operator="lessThan" dxfId="1">
      <formula>1</formula>
    </cfRule>
  </conditionalFormatting>
  <conditionalFormatting sqref="B11">
    <cfRule type="cellIs" priority="7" operator="greaterThanOrEqual" dxfId="0">
      <formula>0</formula>
    </cfRule>
    <cfRule type="cellIs" priority="8" operator="lessThan" dxfId="1">
      <formula>0</formula>
    </cfRule>
  </conditionalFormatting>
  <hyperlinks>
    <hyperlink xmlns:r="http://schemas.openxmlformats.org/officeDocument/2006/relationships" ref="C4" r:id="rId1"/>
  </hyperlinks>
  <pageMargins left="0.75" right="0.75" top="1" bottom="1" header="0.5" footer="0.5"/>
  <pageSetup orientation="portrait" fitToHeight="0" fitToWidth="1"/>
  <headerFooter>
    <oddHeader/>
    <oddFooter>&amp;C&amp;8 Les Murs. — dossier indicatif généré automatiquement ; l'offre de prêt de la banque fait foi</oddFooter>
    <evenHeader/>
    <evenFooter/>
    <firstHeader/>
    <firstFooter/>
  </headerFooter>
  <drawing xmlns:r="http://schemas.openxmlformats.org/officeDocument/2006/relationships" r:id="rId2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1"/>
  <sheetViews>
    <sheetView showGridLines="0"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hidden="1" width="13" customWidth="1" min="7" max="7"/>
  </cols>
  <sheetData>
    <row r="1">
      <c r="A1" s="28" t="inlineStr">
        <is>
          <t>Année</t>
        </is>
      </c>
      <c r="B1" s="28" t="inlineStr">
        <is>
          <t>Capital dû en début d'année</t>
        </is>
      </c>
      <c r="C1" s="28" t="inlineStr">
        <is>
          <t>Intérêts de l'année</t>
        </is>
      </c>
      <c r="D1" s="28" t="inlineStr">
        <is>
          <t>Capital remboursé</t>
        </is>
      </c>
      <c r="E1" s="28" t="inlineStr">
        <is>
          <t>Capital restant dû</t>
        </is>
      </c>
      <c r="G1">
        <f>'Synthèse'!B29</f>
        <v/>
      </c>
    </row>
    <row r="2">
      <c r="A2" t="n">
        <v>1</v>
      </c>
      <c r="B2" s="8">
        <f>IF(A2&lt;=$G$1,'Synthèse'!$B$37,"")</f>
        <v/>
      </c>
      <c r="C2" s="8">
        <f>IF(A2&lt;=$G$1,B2*$G$2,"")</f>
        <v/>
      </c>
      <c r="D2" s="8">
        <f>IF(A2&lt;=$G$1,MIN(B2,$G$3-C2),"")</f>
        <v/>
      </c>
      <c r="E2" s="8">
        <f>IF(A2&lt;=$G$1,MAX(0,B2-D2),"")</f>
        <v/>
      </c>
      <c r="F2" s="6" t="inlineStr">
        <is>
          <t>Tableau indicatif (pas annuel) — l'offre de prêt de la banque fait foi.</t>
        </is>
      </c>
      <c r="G2">
        <f>'Synthèse'!B28</f>
        <v/>
      </c>
    </row>
    <row r="3">
      <c r="A3" t="n">
        <v>2</v>
      </c>
      <c r="B3" s="8">
        <f>IF(A3&lt;=$G$1,E2,"")</f>
        <v/>
      </c>
      <c r="C3" s="8">
        <f>IF(A3&lt;=$G$1,B3*$G$2,"")</f>
        <v/>
      </c>
      <c r="D3" s="8">
        <f>IF(A3&lt;=$G$1,MIN(B3,$G$3-C3),"")</f>
        <v/>
      </c>
      <c r="E3" s="8">
        <f>IF(A3&lt;=$G$1,MAX(0,B3-D3),"")</f>
        <v/>
      </c>
      <c r="G3">
        <f>'Synthèse'!B39</f>
        <v/>
      </c>
    </row>
    <row r="4">
      <c r="A4" t="n">
        <v>3</v>
      </c>
      <c r="B4" s="8">
        <f>IF(A4&lt;=$G$1,E3,"")</f>
        <v/>
      </c>
      <c r="C4" s="8">
        <f>IF(A4&lt;=$G$1,B4*$G$2,"")</f>
        <v/>
      </c>
      <c r="D4" s="8">
        <f>IF(A4&lt;=$G$1,MIN(B4,$G$3-C4),"")</f>
        <v/>
      </c>
      <c r="E4" s="8">
        <f>IF(A4&lt;=$G$1,MAX(0,B4-D4),"")</f>
        <v/>
      </c>
    </row>
    <row r="5">
      <c r="A5" t="n">
        <v>4</v>
      </c>
      <c r="B5" s="8">
        <f>IF(A5&lt;=$G$1,E4,"")</f>
        <v/>
      </c>
      <c r="C5" s="8">
        <f>IF(A5&lt;=$G$1,B5*$G$2,"")</f>
        <v/>
      </c>
      <c r="D5" s="8">
        <f>IF(A5&lt;=$G$1,MIN(B5,$G$3-C5),"")</f>
        <v/>
      </c>
      <c r="E5" s="8">
        <f>IF(A5&lt;=$G$1,MAX(0,B5-D5),"")</f>
        <v/>
      </c>
    </row>
    <row r="6">
      <c r="A6" t="n">
        <v>5</v>
      </c>
      <c r="B6" s="8">
        <f>IF(A6&lt;=$G$1,E5,"")</f>
        <v/>
      </c>
      <c r="C6" s="8">
        <f>IF(A6&lt;=$G$1,B6*$G$2,"")</f>
        <v/>
      </c>
      <c r="D6" s="8">
        <f>IF(A6&lt;=$G$1,MIN(B6,$G$3-C6),"")</f>
        <v/>
      </c>
      <c r="E6" s="8">
        <f>IF(A6&lt;=$G$1,MAX(0,B6-D6),"")</f>
        <v/>
      </c>
    </row>
    <row r="7">
      <c r="A7" t="n">
        <v>6</v>
      </c>
      <c r="B7" s="8">
        <f>IF(A7&lt;=$G$1,E6,"")</f>
        <v/>
      </c>
      <c r="C7" s="8">
        <f>IF(A7&lt;=$G$1,B7*$G$2,"")</f>
        <v/>
      </c>
      <c r="D7" s="8">
        <f>IF(A7&lt;=$G$1,MIN(B7,$G$3-C7),"")</f>
        <v/>
      </c>
      <c r="E7" s="8">
        <f>IF(A7&lt;=$G$1,MAX(0,B7-D7),"")</f>
        <v/>
      </c>
    </row>
    <row r="8">
      <c r="A8" t="n">
        <v>7</v>
      </c>
      <c r="B8" s="8">
        <f>IF(A8&lt;=$G$1,E7,"")</f>
        <v/>
      </c>
      <c r="C8" s="8">
        <f>IF(A8&lt;=$G$1,B8*$G$2,"")</f>
        <v/>
      </c>
      <c r="D8" s="8">
        <f>IF(A8&lt;=$G$1,MIN(B8,$G$3-C8),"")</f>
        <v/>
      </c>
      <c r="E8" s="8">
        <f>IF(A8&lt;=$G$1,MAX(0,B8-D8),"")</f>
        <v/>
      </c>
    </row>
    <row r="9">
      <c r="A9" t="n">
        <v>8</v>
      </c>
      <c r="B9" s="8">
        <f>IF(A9&lt;=$G$1,E8,"")</f>
        <v/>
      </c>
      <c r="C9" s="8">
        <f>IF(A9&lt;=$G$1,B9*$G$2,"")</f>
        <v/>
      </c>
      <c r="D9" s="8">
        <f>IF(A9&lt;=$G$1,MIN(B9,$G$3-C9),"")</f>
        <v/>
      </c>
      <c r="E9" s="8">
        <f>IF(A9&lt;=$G$1,MAX(0,B9-D9),"")</f>
        <v/>
      </c>
    </row>
    <row r="10">
      <c r="A10" t="n">
        <v>9</v>
      </c>
      <c r="B10" s="8">
        <f>IF(A10&lt;=$G$1,E9,"")</f>
        <v/>
      </c>
      <c r="C10" s="8">
        <f>IF(A10&lt;=$G$1,B10*$G$2,"")</f>
        <v/>
      </c>
      <c r="D10" s="8">
        <f>IF(A10&lt;=$G$1,MIN(B10,$G$3-C10),"")</f>
        <v/>
      </c>
      <c r="E10" s="8">
        <f>IF(A10&lt;=$G$1,MAX(0,B10-D10),"")</f>
        <v/>
      </c>
    </row>
    <row r="11">
      <c r="A11" t="n">
        <v>10</v>
      </c>
      <c r="B11" s="8">
        <f>IF(A11&lt;=$G$1,E10,"")</f>
        <v/>
      </c>
      <c r="C11" s="8">
        <f>IF(A11&lt;=$G$1,B11*$G$2,"")</f>
        <v/>
      </c>
      <c r="D11" s="8">
        <f>IF(A11&lt;=$G$1,MIN(B11,$G$3-C11),"")</f>
        <v/>
      </c>
      <c r="E11" s="8">
        <f>IF(A11&lt;=$G$1,MAX(0,B11-D11),"")</f>
        <v/>
      </c>
    </row>
    <row r="12">
      <c r="A12" t="n">
        <v>11</v>
      </c>
      <c r="B12" s="8">
        <f>IF(A12&lt;=$G$1,E11,"")</f>
        <v/>
      </c>
      <c r="C12" s="8">
        <f>IF(A12&lt;=$G$1,B12*$G$2,"")</f>
        <v/>
      </c>
      <c r="D12" s="8">
        <f>IF(A12&lt;=$G$1,MIN(B12,$G$3-C12),"")</f>
        <v/>
      </c>
      <c r="E12" s="8">
        <f>IF(A12&lt;=$G$1,MAX(0,B12-D12),"")</f>
        <v/>
      </c>
    </row>
    <row r="13">
      <c r="A13" t="n">
        <v>12</v>
      </c>
      <c r="B13" s="8">
        <f>IF(A13&lt;=$G$1,E12,"")</f>
        <v/>
      </c>
      <c r="C13" s="8">
        <f>IF(A13&lt;=$G$1,B13*$G$2,"")</f>
        <v/>
      </c>
      <c r="D13" s="8">
        <f>IF(A13&lt;=$G$1,MIN(B13,$G$3-C13),"")</f>
        <v/>
      </c>
      <c r="E13" s="8">
        <f>IF(A13&lt;=$G$1,MAX(0,B13-D13),"")</f>
        <v/>
      </c>
    </row>
    <row r="14">
      <c r="A14" t="n">
        <v>13</v>
      </c>
      <c r="B14" s="8">
        <f>IF(A14&lt;=$G$1,E13,"")</f>
        <v/>
      </c>
      <c r="C14" s="8">
        <f>IF(A14&lt;=$G$1,B14*$G$2,"")</f>
        <v/>
      </c>
      <c r="D14" s="8">
        <f>IF(A14&lt;=$G$1,MIN(B14,$G$3-C14),"")</f>
        <v/>
      </c>
      <c r="E14" s="8">
        <f>IF(A14&lt;=$G$1,MAX(0,B14-D14),"")</f>
        <v/>
      </c>
    </row>
    <row r="15">
      <c r="A15" t="n">
        <v>14</v>
      </c>
      <c r="B15" s="8">
        <f>IF(A15&lt;=$G$1,E14,"")</f>
        <v/>
      </c>
      <c r="C15" s="8">
        <f>IF(A15&lt;=$G$1,B15*$G$2,"")</f>
        <v/>
      </c>
      <c r="D15" s="8">
        <f>IF(A15&lt;=$G$1,MIN(B15,$G$3-C15),"")</f>
        <v/>
      </c>
      <c r="E15" s="8">
        <f>IF(A15&lt;=$G$1,MAX(0,B15-D15),"")</f>
        <v/>
      </c>
    </row>
    <row r="16">
      <c r="A16" t="n">
        <v>15</v>
      </c>
      <c r="B16" s="8">
        <f>IF(A16&lt;=$G$1,E15,"")</f>
        <v/>
      </c>
      <c r="C16" s="8">
        <f>IF(A16&lt;=$G$1,B16*$G$2,"")</f>
        <v/>
      </c>
      <c r="D16" s="8">
        <f>IF(A16&lt;=$G$1,MIN(B16,$G$3-C16),"")</f>
        <v/>
      </c>
      <c r="E16" s="8">
        <f>IF(A16&lt;=$G$1,MAX(0,B16-D16),"")</f>
        <v/>
      </c>
    </row>
    <row r="17">
      <c r="A17" t="n">
        <v>16</v>
      </c>
      <c r="B17" s="8">
        <f>IF(A17&lt;=$G$1,E16,"")</f>
        <v/>
      </c>
      <c r="C17" s="8">
        <f>IF(A17&lt;=$G$1,B17*$G$2,"")</f>
        <v/>
      </c>
      <c r="D17" s="8">
        <f>IF(A17&lt;=$G$1,MIN(B17,$G$3-C17),"")</f>
        <v/>
      </c>
      <c r="E17" s="8">
        <f>IF(A17&lt;=$G$1,MAX(0,B17-D17),"")</f>
        <v/>
      </c>
    </row>
    <row r="18">
      <c r="A18" t="n">
        <v>17</v>
      </c>
      <c r="B18" s="8">
        <f>IF(A18&lt;=$G$1,E17,"")</f>
        <v/>
      </c>
      <c r="C18" s="8">
        <f>IF(A18&lt;=$G$1,B18*$G$2,"")</f>
        <v/>
      </c>
      <c r="D18" s="8">
        <f>IF(A18&lt;=$G$1,MIN(B18,$G$3-C18),"")</f>
        <v/>
      </c>
      <c r="E18" s="8">
        <f>IF(A18&lt;=$G$1,MAX(0,B18-D18),"")</f>
        <v/>
      </c>
    </row>
    <row r="19">
      <c r="A19" t="n">
        <v>18</v>
      </c>
      <c r="B19" s="8">
        <f>IF(A19&lt;=$G$1,E18,"")</f>
        <v/>
      </c>
      <c r="C19" s="8">
        <f>IF(A19&lt;=$G$1,B19*$G$2,"")</f>
        <v/>
      </c>
      <c r="D19" s="8">
        <f>IF(A19&lt;=$G$1,MIN(B19,$G$3-C19),"")</f>
        <v/>
      </c>
      <c r="E19" s="8">
        <f>IF(A19&lt;=$G$1,MAX(0,B19-D19),"")</f>
        <v/>
      </c>
    </row>
    <row r="20">
      <c r="A20" t="n">
        <v>19</v>
      </c>
      <c r="B20" s="8">
        <f>IF(A20&lt;=$G$1,E19,"")</f>
        <v/>
      </c>
      <c r="C20" s="8">
        <f>IF(A20&lt;=$G$1,B20*$G$2,"")</f>
        <v/>
      </c>
      <c r="D20" s="8">
        <f>IF(A20&lt;=$G$1,MIN(B20,$G$3-C20),"")</f>
        <v/>
      </c>
      <c r="E20" s="8">
        <f>IF(A20&lt;=$G$1,MAX(0,B20-D20),"")</f>
        <v/>
      </c>
    </row>
    <row r="21">
      <c r="A21" t="n">
        <v>20</v>
      </c>
      <c r="B21" s="8">
        <f>IF(A21&lt;=$G$1,E20,"")</f>
        <v/>
      </c>
      <c r="C21" s="8">
        <f>IF(A21&lt;=$G$1,B21*$G$2,"")</f>
        <v/>
      </c>
      <c r="D21" s="8">
        <f>IF(A21&lt;=$G$1,MIN(B21,$G$3-C21),"")</f>
        <v/>
      </c>
      <c r="E21" s="8">
        <f>IF(A21&lt;=$G$1,MAX(0,B21-D21),"")</f>
        <v/>
      </c>
    </row>
    <row r="22">
      <c r="A22" t="n">
        <v>21</v>
      </c>
      <c r="B22" s="8">
        <f>IF(A22&lt;=$G$1,E21,"")</f>
        <v/>
      </c>
      <c r="C22" s="8">
        <f>IF(A22&lt;=$G$1,B22*$G$2,"")</f>
        <v/>
      </c>
      <c r="D22" s="8">
        <f>IF(A22&lt;=$G$1,MIN(B22,$G$3-C22),"")</f>
        <v/>
      </c>
      <c r="E22" s="8">
        <f>IF(A22&lt;=$G$1,MAX(0,B22-D22),"")</f>
        <v/>
      </c>
    </row>
    <row r="23">
      <c r="A23" t="n">
        <v>22</v>
      </c>
      <c r="B23" s="8">
        <f>IF(A23&lt;=$G$1,E22,"")</f>
        <v/>
      </c>
      <c r="C23" s="8">
        <f>IF(A23&lt;=$G$1,B23*$G$2,"")</f>
        <v/>
      </c>
      <c r="D23" s="8">
        <f>IF(A23&lt;=$G$1,MIN(B23,$G$3-C23),"")</f>
        <v/>
      </c>
      <c r="E23" s="8">
        <f>IF(A23&lt;=$G$1,MAX(0,B23-D23),"")</f>
        <v/>
      </c>
    </row>
    <row r="24">
      <c r="A24" t="n">
        <v>23</v>
      </c>
      <c r="B24" s="8">
        <f>IF(A24&lt;=$G$1,E23,"")</f>
        <v/>
      </c>
      <c r="C24" s="8">
        <f>IF(A24&lt;=$G$1,B24*$G$2,"")</f>
        <v/>
      </c>
      <c r="D24" s="8">
        <f>IF(A24&lt;=$G$1,MIN(B24,$G$3-C24),"")</f>
        <v/>
      </c>
      <c r="E24" s="8">
        <f>IF(A24&lt;=$G$1,MAX(0,B24-D24),"")</f>
        <v/>
      </c>
    </row>
    <row r="25">
      <c r="A25" t="n">
        <v>24</v>
      </c>
      <c r="B25" s="8">
        <f>IF(A25&lt;=$G$1,E24,"")</f>
        <v/>
      </c>
      <c r="C25" s="8">
        <f>IF(A25&lt;=$G$1,B25*$G$2,"")</f>
        <v/>
      </c>
      <c r="D25" s="8">
        <f>IF(A25&lt;=$G$1,MIN(B25,$G$3-C25),"")</f>
        <v/>
      </c>
      <c r="E25" s="8">
        <f>IF(A25&lt;=$G$1,MAX(0,B25-D25),"")</f>
        <v/>
      </c>
    </row>
    <row r="26">
      <c r="A26" t="n">
        <v>25</v>
      </c>
      <c r="B26" s="8">
        <f>IF(A26&lt;=$G$1,E25,"")</f>
        <v/>
      </c>
      <c r="C26" s="8">
        <f>IF(A26&lt;=$G$1,B26*$G$2,"")</f>
        <v/>
      </c>
      <c r="D26" s="8">
        <f>IF(A26&lt;=$G$1,MIN(B26,$G$3-C26),"")</f>
        <v/>
      </c>
      <c r="E26" s="8">
        <f>IF(A26&lt;=$G$1,MAX(0,B26-D26),"")</f>
        <v/>
      </c>
    </row>
    <row r="27">
      <c r="A27" t="n">
        <v>26</v>
      </c>
      <c r="B27" s="8">
        <f>IF(A27&lt;=$G$1,E26,"")</f>
        <v/>
      </c>
      <c r="C27" s="8">
        <f>IF(A27&lt;=$G$1,B27*$G$2,"")</f>
        <v/>
      </c>
      <c r="D27" s="8">
        <f>IF(A27&lt;=$G$1,MIN(B27,$G$3-C27),"")</f>
        <v/>
      </c>
      <c r="E27" s="8">
        <f>IF(A27&lt;=$G$1,MAX(0,B27-D27),"")</f>
        <v/>
      </c>
    </row>
    <row r="28">
      <c r="A28" t="n">
        <v>27</v>
      </c>
      <c r="B28" s="8">
        <f>IF(A28&lt;=$G$1,E27,"")</f>
        <v/>
      </c>
      <c r="C28" s="8">
        <f>IF(A28&lt;=$G$1,B28*$G$2,"")</f>
        <v/>
      </c>
      <c r="D28" s="8">
        <f>IF(A28&lt;=$G$1,MIN(B28,$G$3-C28),"")</f>
        <v/>
      </c>
      <c r="E28" s="8">
        <f>IF(A28&lt;=$G$1,MAX(0,B28-D28),"")</f>
        <v/>
      </c>
    </row>
    <row r="29">
      <c r="A29" t="n">
        <v>28</v>
      </c>
      <c r="B29" s="8">
        <f>IF(A29&lt;=$G$1,E28,"")</f>
        <v/>
      </c>
      <c r="C29" s="8">
        <f>IF(A29&lt;=$G$1,B29*$G$2,"")</f>
        <v/>
      </c>
      <c r="D29" s="8">
        <f>IF(A29&lt;=$G$1,MIN(B29,$G$3-C29),"")</f>
        <v/>
      </c>
      <c r="E29" s="8">
        <f>IF(A29&lt;=$G$1,MAX(0,B29-D29),"")</f>
        <v/>
      </c>
    </row>
    <row r="30">
      <c r="A30" t="n">
        <v>29</v>
      </c>
      <c r="B30" s="8">
        <f>IF(A30&lt;=$G$1,E29,"")</f>
        <v/>
      </c>
      <c r="C30" s="8">
        <f>IF(A30&lt;=$G$1,B30*$G$2,"")</f>
        <v/>
      </c>
      <c r="D30" s="8">
        <f>IF(A30&lt;=$G$1,MIN(B30,$G$3-C30),"")</f>
        <v/>
      </c>
      <c r="E30" s="8">
        <f>IF(A30&lt;=$G$1,MAX(0,B30-D30),"")</f>
        <v/>
      </c>
    </row>
    <row r="31">
      <c r="A31" t="n">
        <v>30</v>
      </c>
      <c r="B31" s="8">
        <f>IF(A31&lt;=$G$1,E30,"")</f>
        <v/>
      </c>
      <c r="C31" s="8">
        <f>IF(A31&lt;=$G$1,B31*$G$2,"")</f>
        <v/>
      </c>
      <c r="D31" s="8">
        <f>IF(A31&lt;=$G$1,MIN(B31,$G$3-C31),"")</f>
        <v/>
      </c>
      <c r="E31" s="8">
        <f>IF(A31&lt;=$G$1,MAX(0,B31-D31),"")</f>
        <v/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2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100" customWidth="1" min="2" max="2"/>
  </cols>
  <sheetData>
    <row r="1">
      <c r="A1" s="29" t="inlineStr">
        <is>
          <t>Titre</t>
        </is>
      </c>
      <c r="B1" s="30" t="inlineStr">
        <is>
          <t>Vente local restaurant bar de 112m² à Saint-Denis</t>
        </is>
      </c>
    </row>
    <row r="2">
      <c r="A2" s="29" t="inlineStr">
        <is>
          <t>Lien</t>
        </is>
      </c>
      <c r="B2" s="31" t="inlineStr">
        <is>
          <t>https://www.cessionpme.com/annonce,immo-entreprise-achat-bar-brasserie-tabac-saint-denis,2742280,A,offre.html</t>
        </is>
      </c>
    </row>
    <row r="3">
      <c r="A3" s="29" t="inlineStr">
        <is>
          <t>Ville</t>
        </is>
      </c>
      <c r="B3" s="30" t="inlineStr">
        <is>
          <t>Saint-Denis (93200)</t>
        </is>
      </c>
    </row>
    <row r="4">
      <c r="A4" s="29" t="inlineStr">
        <is>
          <t>Source</t>
        </is>
      </c>
      <c r="B4" s="30" t="inlineStr">
        <is>
          <t>cessionpme</t>
        </is>
      </c>
    </row>
    <row r="5">
      <c r="A5" s="29" t="inlineStr">
        <is>
          <t>Première détection</t>
        </is>
      </c>
      <c r="B5" s="30" t="inlineStr">
        <is>
          <t>2026-07-20</t>
        </is>
      </c>
    </row>
    <row r="6">
      <c r="A6" s="29" t="inlineStr">
        <is>
          <t>Type</t>
        </is>
      </c>
      <c r="B6" s="30" t="inlineStr">
        <is>
          <t>Murs occupés</t>
        </is>
      </c>
    </row>
    <row r="7">
      <c r="A7" s="29" t="inlineStr">
        <is>
          <t>Caractéristiques</t>
        </is>
      </c>
      <c r="B7" s="30" t="inlineStr">
        <is>
          <t>Extraction / vraie restauration possible</t>
        </is>
      </c>
    </row>
    <row r="8">
      <c r="A8" s="29" t="inlineStr">
        <is>
          <t>Évolution du prix</t>
        </is>
      </c>
      <c r="B8" s="30" t="inlineStr">
        <is>
          <t>stable depuis la première vue</t>
        </is>
      </c>
    </row>
    <row r="9">
      <c r="A9" s="29" t="inlineStr">
        <is>
          <t>Fourchette de marché</t>
        </is>
      </c>
      <c r="B9" s="30" t="inlineStr">
        <is>
          <t>124 ventes réelles 2023-2025 (DVF)</t>
        </is>
      </c>
    </row>
    <row r="10">
      <c r="A10" s="29" t="inlineStr">
        <is>
          <t>Lecture du prix</t>
        </is>
      </c>
      <c r="B10" s="30" t="inlineStr">
        <is>
          <t>Décote sans explication visible dans l'annonce : possible bonne affaire — ou défaut caché (état, copropriété, bail) à vérifier sur place.</t>
        </is>
      </c>
    </row>
    <row r="11">
      <c r="A11" s="29" t="inlineStr">
        <is>
          <t>Alertes</t>
        </is>
      </c>
      <c r="B11" s="30" t="inlineStr">
        <is>
          <t>rendement_anormalement_eleve</t>
        </is>
      </c>
    </row>
    <row r="12" ht="110" customHeight="1">
      <c r="A12" s="29" t="inlineStr">
        <is>
          <t>Description</t>
        </is>
      </c>
      <c r="B12" s="30" t="inlineStr">
        <is>
          <t>93200 Saint-Denis Le groupe vous propose un emplacement premium offrant un fort potentiel pour une activité de restauration ou de bar dans un environnement à fort passage. Ce local commercial développe une surface totale de 112 m² répartie comme suit : 100 m² de plain-pied au rez-de-chaussée, offrant un espace de réception spacieux et parfaitement exploitable ; 12 m² en sous-sol, idéal pour le stockage ou les réserves. Pensé pour accueillir une activité de bar-restaurant, ce bien dispose de prestations particulièrement recherchées : conduit de cheminée diamètre 300 ; installation gaz ; alimen</t>
        </is>
      </c>
    </row>
  </sheetData>
  <hyperlinks>
    <hyperlink xmlns:r="http://schemas.openxmlformats.org/officeDocument/2006/relationships" ref="B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2026-08-02T22:20:26Z</dcterms:created>
  <dcterms:modified xsi:type="dcterms:W3CDTF">2026-08-02T22:20:26Z</dcterms:modified>
</cp:coreProperties>
</file>