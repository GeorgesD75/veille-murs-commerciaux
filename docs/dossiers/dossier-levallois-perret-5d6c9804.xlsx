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levallois-perret/p355818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levallois-perret/p35581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Levallois-Perret</t>
        </is>
      </c>
    </row>
    <row r="4">
      <c r="A4" s="4" t="inlineStr">
        <is>
          <t>Levallois-Perret (92300) — annonce pointdevente du 2026-09-15</t>
        </is>
      </c>
      <c r="C4" s="5" t="inlineStr">
        <is>
          <t>Voir l'annonce en ligne ↗</t>
        </is>
      </c>
    </row>
    <row r="5">
      <c r="A5" s="6" t="inlineStr">
        <is>
          <t>Dossier généré le 28/10/2026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B26</f>
        <v/>
      </c>
      <c r="E8" s="6" t="inlineStr">
        <is>
          <t>Crédit + charges / mois</t>
        </is>
      </c>
      <c r="F8" s="8">
        <f>B39-(B44+B45+B46)/12</f>
        <v/>
      </c>
    </row>
    <row r="9">
      <c r="A9" s="9" t="inlineStr">
        <is>
          <t>Apport nécessaire</t>
        </is>
      </c>
      <c r="B9" s="10">
        <f>B37</f>
        <v/>
      </c>
      <c r="E9" s="6" t="inlineStr">
        <is>
          <t>Cash-flow</t>
        </is>
      </c>
      <c r="F9" s="8">
        <f>B50</f>
        <v/>
      </c>
    </row>
    <row r="10">
      <c r="A10" s="9" t="inlineStr">
        <is>
          <t>Mensualité de crédit estimée</t>
        </is>
      </c>
      <c r="B10" s="11">
        <f>B39</f>
        <v/>
      </c>
    </row>
    <row r="11">
      <c r="A11" s="9" t="inlineStr">
        <is>
          <t>Cash-flow mensuel attendu</t>
        </is>
      </c>
      <c r="B11" s="11">
        <f>B50</f>
        <v/>
      </c>
    </row>
    <row r="12">
      <c r="A12" s="9" t="inlineStr">
        <is>
          <t>DSCR (≥ 1,20 rassure)</t>
        </is>
      </c>
      <c r="B12" s="12">
        <f>B55</f>
        <v/>
      </c>
    </row>
    <row r="13">
      <c r="A13" s="13" t="inlineStr">
        <is>
          <t>EN CLAIR — aux hypothèses de ce dossier (apport 20 %, crédit 5,34 % sur 20 ans, charges provisionnées), il reste environ 13 €/mois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33</v>
      </c>
    </row>
    <row r="18">
      <c r="A18" s="14" t="inlineStr">
        <is>
          <t>Prix affiché</t>
        </is>
      </c>
      <c r="B18" s="17" t="n">
        <v>190000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1300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3 846 à 7 685 €/m²</t>
        </is>
      </c>
      <c r="C21" s="18" t="inlineStr">
        <is>
          <t>ce bien est 7 % SOUS la médiane locale</t>
        </is>
      </c>
    </row>
    <row r="22">
      <c r="A22" s="14" t="inlineStr">
        <is>
          <t>Source de la fourchette</t>
        </is>
      </c>
      <c r="B22" s="15" t="inlineStr">
        <is>
          <t>187 ventes réelles 2023-2025 (DVF)</t>
        </is>
      </c>
      <c r="C22" s="18" t="inlineStr">
        <is>
          <t>DVF = prix réellement payés, enregistrés chez le notaire (data.gouv.fr)</t>
        </is>
      </c>
    </row>
    <row r="23">
      <c r="A23" s="14" t="inlineStr">
        <is>
          <t>Évolution du prix demandé</t>
        </is>
      </c>
      <c r="B23" s="15" t="inlineStr">
        <is>
          <t>225 000 € (15/09) → 190 000 € (27/10)  —  −15.6 % depuis la première vue</t>
        </is>
      </c>
      <c r="C23" s="18" t="inlineStr">
        <is>
          <t>un prix qui baisse est un levier de négociation documenté</t>
        </is>
      </c>
    </row>
    <row r="25" ht="18" customHeight="1">
      <c r="A25" s="7" t="inlineStr">
        <is>
          <t>HYPOTHÈSES — cellules jaunes à ajuster avec votre conseiller</t>
        </is>
      </c>
    </row>
    <row r="26">
      <c r="A26" s="14" t="inlineStr">
        <is>
          <t>Prix négocié retenu</t>
        </is>
      </c>
      <c r="B26" s="19" t="n">
        <v>190000</v>
      </c>
      <c r="C26" s="18" t="inlineStr">
        <is>
          <t>par défaut le prix affiché — un prix demandé se négocie</t>
        </is>
      </c>
    </row>
    <row r="27">
      <c r="A27" s="14" t="inlineStr">
        <is>
          <t>Frais d'acquisition (notaire, garanties)</t>
        </is>
      </c>
      <c r="B27" s="20" t="n">
        <v>0.08</v>
      </c>
    </row>
    <row r="28">
      <c r="A28" s="14" t="inlineStr">
        <is>
          <t>Apport personnel</t>
        </is>
      </c>
      <c r="B28" s="20" t="n">
        <v>0.2</v>
      </c>
    </row>
    <row r="29">
      <c r="A29" s="14" t="inlineStr">
        <is>
          <t>Taux du crédit (hors assurance)</t>
        </is>
      </c>
      <c r="B29" s="20" t="n">
        <v>0.0534</v>
      </c>
    </row>
    <row r="30">
      <c r="A30" s="14" t="inlineStr">
        <is>
          <t>Durée du crédit (années)</t>
        </is>
      </c>
      <c r="B30" s="21" t="n">
        <v>20</v>
      </c>
    </row>
    <row r="31">
      <c r="A31" s="14" t="inlineStr">
        <is>
          <t>Taxe foncière (en mois de loyer par an)</t>
        </is>
      </c>
      <c r="B31" s="22" t="n">
        <v>1</v>
      </c>
      <c r="C31" s="18" t="inlineStr">
        <is>
          <t>à remplacer par le montant réel dès que connu</t>
        </is>
      </c>
    </row>
    <row r="32">
      <c r="A32" s="14" t="inlineStr">
        <is>
          <t>Provision entretien &amp; vacance (% du loyer)</t>
        </is>
      </c>
      <c r="B32" s="20" t="n">
        <v>0.05</v>
      </c>
    </row>
    <row r="33">
      <c r="A33" s="14" t="inlineStr">
        <is>
          <t>Assurance propriétaire (PNO, €/an)</t>
        </is>
      </c>
      <c r="B33" s="19" t="n">
        <v>300</v>
      </c>
    </row>
    <row r="35" ht="18" customHeight="1">
      <c r="A35" s="7" t="inlineStr">
        <is>
          <t>PLAN DE FINANCEMENT</t>
        </is>
      </c>
    </row>
    <row r="36">
      <c r="A36" s="14" t="inlineStr">
        <is>
          <t>Coût d'acquisition total</t>
        </is>
      </c>
      <c r="B36" s="17">
        <f>B26*(1+B27)</f>
        <v/>
      </c>
      <c r="C36" s="18" t="inlineStr">
        <is>
          <t>prix négocié + frais d'acquisition</t>
        </is>
      </c>
    </row>
    <row r="37">
      <c r="A37" s="14" t="inlineStr">
        <is>
          <t>Apport personnel</t>
        </is>
      </c>
      <c r="B37" s="17">
        <f>B36*B28</f>
        <v/>
      </c>
    </row>
    <row r="38">
      <c r="A38" s="14" t="inlineStr">
        <is>
          <t>Montant emprunté</t>
        </is>
      </c>
      <c r="B38" s="17">
        <f>B36-B37</f>
        <v/>
      </c>
    </row>
    <row r="39">
      <c r="A39" s="14" t="inlineStr">
        <is>
          <t>Mensualité du crédit</t>
        </is>
      </c>
      <c r="B39" s="23">
        <f>IFERROR(-PMT(B29/12,B30*12,B38),0)</f>
        <v/>
      </c>
    </row>
    <row r="40">
      <c r="A40" s="14" t="inlineStr">
        <is>
          <t>Service de la dette (annuel)</t>
        </is>
      </c>
      <c r="B40" s="17">
        <f>B39*12</f>
        <v/>
      </c>
    </row>
    <row r="42" ht="18" customHeight="1">
      <c r="A42" s="7" t="inlineStr">
        <is>
          <t>EXPLOITATION ANNUELLE</t>
        </is>
      </c>
    </row>
    <row r="43">
      <c r="A43" s="14" t="inlineStr">
        <is>
          <t>Loyers annuels HT</t>
        </is>
      </c>
      <c r="B43" s="17">
        <f>IFERROR(B20*12,0)</f>
        <v/>
      </c>
    </row>
    <row r="44">
      <c r="A44" s="14" t="inlineStr">
        <is>
          <t>− Taxe foncière</t>
        </is>
      </c>
      <c r="B44" s="17">
        <f>-IFERROR(B20*B31,0)</f>
        <v/>
      </c>
    </row>
    <row r="45">
      <c r="A45" s="14" t="inlineStr">
        <is>
          <t>− Entretien &amp; vacance locative</t>
        </is>
      </c>
      <c r="B45" s="17">
        <f>-B43*B32</f>
        <v/>
      </c>
    </row>
    <row r="46">
      <c r="A46" s="14" t="inlineStr">
        <is>
          <t>− Assurance PNO</t>
        </is>
      </c>
      <c r="B46" s="17">
        <f>-B33</f>
        <v/>
      </c>
    </row>
    <row r="47">
      <c r="A47" s="14" t="inlineStr">
        <is>
          <t>Revenu net avant crédit</t>
        </is>
      </c>
      <c r="B47" s="17">
        <f>B43+B44+B45+B46</f>
        <v/>
      </c>
    </row>
    <row r="48">
      <c r="A48" s="14" t="inlineStr">
        <is>
          <t>− Remboursement du crédit</t>
        </is>
      </c>
      <c r="B48" s="17">
        <f>-B40</f>
        <v/>
      </c>
    </row>
    <row r="49">
      <c r="A49" s="14" t="inlineStr">
        <is>
          <t>Cash-flow annuel</t>
        </is>
      </c>
      <c r="B49" s="17">
        <f>B47-B40</f>
        <v/>
      </c>
    </row>
    <row r="50">
      <c r="A50" s="14" t="inlineStr">
        <is>
          <t>Cash-flow mensuel</t>
        </is>
      </c>
      <c r="B50" s="24">
        <f>B49/12</f>
        <v/>
      </c>
      <c r="C50" s="18" t="inlineStr">
        <is>
          <t>positif : le bien se paie tout seul, loyer ≥ crédit + charges</t>
        </is>
      </c>
    </row>
    <row r="52" ht="18" customHeight="1">
      <c r="A52" s="7" t="inlineStr">
        <is>
          <t>LES RATIOS QUE REGARDE LE BANQUIER</t>
        </is>
      </c>
    </row>
    <row r="53">
      <c r="A53" s="14" t="inlineStr">
        <is>
          <t>Rendement brut</t>
        </is>
      </c>
      <c r="B53" s="25">
        <f>IFERROR(B43/B26,"")</f>
        <v/>
      </c>
      <c r="C53" s="18" t="inlineStr">
        <is>
          <t>loyer annuel ÷ prix — la base de comparaison des biens</t>
        </is>
      </c>
    </row>
    <row r="54">
      <c r="A54" s="14" t="inlineStr">
        <is>
          <t>Rendement net avant crédit</t>
        </is>
      </c>
      <c r="B54" s="25">
        <f>IFERROR(B47/B36,"")</f>
        <v/>
      </c>
      <c r="C54" s="18" t="inlineStr">
        <is>
          <t>après taxe foncière, entretien et assurance</t>
        </is>
      </c>
    </row>
    <row r="55">
      <c r="A55" s="14" t="inlineStr">
        <is>
          <t>DSCR — couverture de la dette</t>
        </is>
      </c>
      <c r="B55" s="26">
        <f>IFERROR(B47/B40,"")</f>
        <v/>
      </c>
      <c r="C55" s="18" t="inlineStr">
        <is>
          <t>revenu net ÷ crédit : ≥ 1,20 rassure une banque</t>
        </is>
      </c>
    </row>
    <row r="56">
      <c r="A56" s="14" t="inlineStr">
        <is>
          <t>LTV — part financée par la banque</t>
        </is>
      </c>
      <c r="B56" s="25">
        <f>IFERROR(B38/B26,"")</f>
        <v/>
      </c>
      <c r="C56" s="18" t="inlineStr">
        <is>
          <t>≤ 80 % est la zone de confort bancaire</t>
        </is>
      </c>
    </row>
    <row r="57">
      <c r="A57" s="14" t="inlineStr">
        <is>
          <t>Effort d'épargne mensuel si négatif</t>
        </is>
      </c>
      <c r="B57" s="23">
        <f>MAX(0,-B49/12)</f>
        <v/>
      </c>
    </row>
    <row r="58">
      <c r="A58" s="14" t="inlineStr">
        <is>
          <t>Score de l'outil de veille</t>
        </is>
      </c>
      <c r="B58" s="15" t="inlineStr">
        <is>
          <t>67/100</t>
        </is>
      </c>
      <c r="C58" s="18" t="inlineStr">
        <is>
          <t>rendement, emplacement, prix vs marché, financement, fiscalité</t>
        </is>
      </c>
    </row>
  </sheetData>
  <mergeCells count="11">
    <mergeCell ref="A4:B4"/>
    <mergeCell ref="A25:C25"/>
    <mergeCell ref="A42:C42"/>
    <mergeCell ref="A1:C1"/>
    <mergeCell ref="A3:C3"/>
    <mergeCell ref="A13:C14"/>
    <mergeCell ref="A35:C35"/>
    <mergeCell ref="A15:C15"/>
    <mergeCell ref="A7:C7"/>
    <mergeCell ref="A2:C2"/>
    <mergeCell ref="A52:C52"/>
  </mergeCells>
  <conditionalFormatting sqref="B49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50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5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'Synthèse'!B30</f>
        <v/>
      </c>
    </row>
    <row r="2">
      <c r="A2" t="n">
        <v>1</v>
      </c>
      <c r="B2" s="8">
        <f>IF(A2&lt;=$G$1,'Synthèse'!$B$38,"")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'Synthèse'!B29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'Synthèse'!B40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Levallois-Perret</t>
        </is>
      </c>
    </row>
    <row r="2">
      <c r="A2" s="28" t="inlineStr">
        <is>
          <t>Lien</t>
        </is>
      </c>
      <c r="B2" s="30" t="inlineStr">
        <is>
          <t>https://www.pointdevente.fr/fr/commerce/murs-libres/levallois-perret/p355818</t>
        </is>
      </c>
    </row>
    <row r="3">
      <c r="A3" s="28" t="inlineStr">
        <is>
          <t>Ville</t>
        </is>
      </c>
      <c r="B3" s="29" t="inlineStr">
        <is>
          <t>Levallois-Perret (92300)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2026-09-15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Restauration légère possible (sans conduit)</t>
        </is>
      </c>
    </row>
    <row r="8">
      <c r="A8" s="28" t="inlineStr">
        <is>
          <t>Évolution du prix</t>
        </is>
      </c>
      <c r="B8" s="29" t="inlineStr">
        <is>
          <t>225 000 € (15/09) → 190 000 € (27/10)  —  −15.6 % depuis la première vue</t>
        </is>
      </c>
    </row>
    <row r="9">
      <c r="A9" s="28" t="inlineStr">
        <is>
          <t>Fourchette de marché</t>
        </is>
      </c>
      <c r="B9" s="29" t="inlineStr">
        <is>
          <t>187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aucune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 · Popup store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2026-10-28T00:57:30Z</dcterms:created>
  <dcterms:modified xsi:type="dcterms:W3CDTF">2026-10-28T00:57:30Z</dcterms:modified>
</cp:coreProperties>
</file>