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vente-local-commercial-boutique-paris-12e-75012,2790163,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vente-local-commercial-boutique-paris-12e-75012,2790163,A,offre.html"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AV murs commerciaux loués 28m² à Paris 75012</t>
        </is>
      </c>
    </row>
    <row r="4">
      <c r="A4" s="4" t="inlineStr">
        <is>
          <t>Paris 12e (75012) — annonce cessionpme du 2026-10-27</t>
        </is>
      </c>
      <c r="C4" s="5" t="inlineStr">
        <is>
          <t>Voir l'annonce en ligne ↗</t>
        </is>
      </c>
    </row>
    <row r="5">
      <c r="A5" s="6" t="inlineStr">
        <is>
          <t>Dossier généré le 29/10/2026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aux hypothèses de ce dossier (apport 20 %, crédit 5,34 % sur 20 ans, charges provisionnées), le bien s'autofinance : le loyer couvre crédit et charges et laisse environ +12 €/mois.</t>
        </is>
      </c>
    </row>
    <row r="14"/>
    <row r="15" ht="18" customHeight="1">
      <c r="A15" s="7" t="inlineStr">
        <is>
          <t>LE BIEN</t>
        </is>
      </c>
    </row>
    <row r="16">
      <c r="A16" s="14" t="inlineStr">
        <is>
          <t>État locatif</t>
        </is>
      </c>
      <c r="B16" s="15" t="inlineStr">
        <is>
          <t>Murs occupés — un locataire en place paie déjà un loyer</t>
        </is>
      </c>
    </row>
    <row r="17">
      <c r="A17" s="14" t="inlineStr">
        <is>
          <t>Surface</t>
        </is>
      </c>
      <c r="B17" s="16" t="n">
        <v>38</v>
      </c>
    </row>
    <row r="18">
      <c r="A18" s="14" t="inlineStr">
        <is>
          <t>Prix affiché</t>
        </is>
      </c>
      <c r="B18" s="17" t="n">
        <v>219999</v>
      </c>
    </row>
    <row r="19">
      <c r="A19" s="14" t="inlineStr">
        <is>
          <t>Prix au m²</t>
        </is>
      </c>
      <c r="B19" s="17">
        <f>IFERROR(B18/B17,"")</f>
        <v/>
      </c>
    </row>
    <row r="20">
      <c r="A20" s="14" t="inlineStr">
        <is>
          <t>Loyer mensuel HT</t>
        </is>
      </c>
      <c r="B20" s="17" t="n">
        <v>1531.08</v>
      </c>
      <c r="C20" s="18" t="inlineStr">
        <is>
          <t>loyer du bail en place (à faire confirmer par le bail)</t>
        </is>
      </c>
    </row>
    <row r="21">
      <c r="A21" s="14" t="inlineStr">
        <is>
          <t>Marché local (prix/m²)</t>
        </is>
      </c>
      <c r="B21" s="15" t="inlineStr">
        <is>
          <t>4 876 à 9 118 €/m²</t>
        </is>
      </c>
      <c r="C21" s="18" t="inlineStr">
        <is>
          <t>ce bien est 20 % SOUS la médiane locale</t>
        </is>
      </c>
    </row>
    <row r="22">
      <c r="A22" s="14" t="inlineStr">
        <is>
          <t>Source de la fourchette</t>
        </is>
      </c>
      <c r="B22" s="15" t="inlineStr">
        <is>
          <t>300 ventes réelles 2023-2025 (DVF)</t>
        </is>
      </c>
      <c r="C22" s="18"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9" t="n">
        <v>219999</v>
      </c>
      <c r="C25" s="18"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8" t="inlineStr">
        <is>
          <t>à remplacer par le montant réel dès que connu</t>
        </is>
      </c>
    </row>
    <row r="31">
      <c r="A31" s="14" t="inlineStr">
        <is>
          <t>Provision entretien &amp; vacance (% du loyer)</t>
        </is>
      </c>
      <c r="B31" s="20" t="n">
        <v>0.05</v>
      </c>
    </row>
    <row r="32">
      <c r="A32" s="14" t="inlineStr">
        <is>
          <t>Assurance propriétaire (PNO, €/an)</t>
        </is>
      </c>
      <c r="B32" s="19" t="n">
        <v>300</v>
      </c>
    </row>
    <row r="34" ht="18" customHeight="1">
      <c r="A34" s="7" t="inlineStr">
        <is>
          <t>PLAN DE FINANCEMENT</t>
        </is>
      </c>
    </row>
    <row r="35">
      <c r="A35" s="14" t="inlineStr">
        <is>
          <t>Coût d'acquisition total</t>
        </is>
      </c>
      <c r="B35" s="17">
        <f>B25*(1+B26)</f>
        <v/>
      </c>
      <c r="C35" s="18"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8" t="inlineStr">
        <is>
          <t>positif : le bien se paie tout seul, loyer ≥ crédit + charges</t>
        </is>
      </c>
    </row>
    <row r="51" ht="18" customHeight="1">
      <c r="A51" s="7" t="inlineStr">
        <is>
          <t>LES RATIOS QUE REGARDE LE BANQUIER</t>
        </is>
      </c>
    </row>
    <row r="52">
      <c r="A52" s="14" t="inlineStr">
        <is>
          <t>Rendement brut</t>
        </is>
      </c>
      <c r="B52" s="25">
        <f>IFERROR(B42/B25,"")</f>
        <v/>
      </c>
      <c r="C52" s="18" t="inlineStr">
        <is>
          <t>loyer annuel ÷ prix — la base de comparaison des biens</t>
        </is>
      </c>
    </row>
    <row r="53">
      <c r="A53" s="14" t="inlineStr">
        <is>
          <t>Rendement net avant crédit</t>
        </is>
      </c>
      <c r="B53" s="25">
        <f>IFERROR(B46/B35,"")</f>
        <v/>
      </c>
      <c r="C53" s="18" t="inlineStr">
        <is>
          <t>après taxe foncière, entretien et assurance</t>
        </is>
      </c>
    </row>
    <row r="54">
      <c r="A54" s="14" t="inlineStr">
        <is>
          <t>DSCR — couverture de la dette</t>
        </is>
      </c>
      <c r="B54" s="26">
        <f>IFERROR(B46/B39,"")</f>
        <v/>
      </c>
      <c r="C54" s="18" t="inlineStr">
        <is>
          <t>revenu net ÷ crédit : ≥ 1,20 rassure une banque</t>
        </is>
      </c>
    </row>
    <row r="55">
      <c r="A55" s="14" t="inlineStr">
        <is>
          <t>LTV — part financée par la banque</t>
        </is>
      </c>
      <c r="B55" s="25">
        <f>IFERROR(B37/B25,"")</f>
        <v/>
      </c>
      <c r="C55" s="18" t="inlineStr">
        <is>
          <t>≤ 80 % est la zone de confort bancaire</t>
        </is>
      </c>
    </row>
    <row r="56">
      <c r="A56" s="14" t="inlineStr">
        <is>
          <t>Effort d'épargne mensuel si négatif</t>
        </is>
      </c>
      <c r="B56" s="23">
        <f>MAX(0,-B48/12)</f>
        <v/>
      </c>
    </row>
    <row r="57">
      <c r="A57" s="14" t="inlineStr">
        <is>
          <t>Score de l'outil de veille</t>
        </is>
      </c>
      <c r="B57" s="15" t="inlineStr">
        <is>
          <t>79/100</t>
        </is>
      </c>
      <c r="C57" s="18"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AV murs commerciaux loués 28m² à Paris 75012</t>
        </is>
      </c>
    </row>
    <row r="2">
      <c r="A2" s="28" t="inlineStr">
        <is>
          <t>Lien</t>
        </is>
      </c>
      <c r="B2" s="30" t="inlineStr">
        <is>
          <t>https://www.cessionpme.com/annonce,immo-entreprise-vente-local-commercial-boutique-paris-12e-75012,2790163,A,offre.html</t>
        </is>
      </c>
    </row>
    <row r="3">
      <c r="A3" s="28" t="inlineStr">
        <is>
          <t>Ville</t>
        </is>
      </c>
      <c r="B3" s="29" t="inlineStr">
        <is>
          <t>Paris 12e (75012)</t>
        </is>
      </c>
    </row>
    <row r="4">
      <c r="A4" s="28" t="inlineStr">
        <is>
          <t>Source</t>
        </is>
      </c>
      <c r="B4" s="29" t="inlineStr">
        <is>
          <t>cessionpme</t>
        </is>
      </c>
    </row>
    <row r="5">
      <c r="A5" s="28" t="inlineStr">
        <is>
          <t>Première détection</t>
        </is>
      </c>
      <c r="B5" s="29" t="inlineStr">
        <is>
          <t>2026-10-27</t>
        </is>
      </c>
    </row>
    <row r="6">
      <c r="A6" s="28" t="inlineStr">
        <is>
          <t>Type</t>
        </is>
      </c>
      <c r="B6" s="29" t="inlineStr">
        <is>
          <t>Murs occupés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300 ventes réelles 2023-2025 (DVF)</t>
        </is>
      </c>
    </row>
    <row r="10">
      <c r="A10" s="28" t="inlineStr">
        <is>
          <t>Lecture du prix</t>
        </is>
      </c>
      <c r="B10" s="29" t="inlineStr">
        <is>
          <t>Décote sans explication visible dans l'annonce : possible bonne affaire — ou défaut caché (état, copropriété, bail) à vérifier sur place.</t>
        </is>
      </c>
    </row>
    <row r="11">
      <c r="A11" s="28" t="inlineStr">
        <is>
          <t>Alertes</t>
        </is>
      </c>
      <c r="B11" s="29" t="inlineStr">
        <is>
          <t>surface_a_ventiler · occupation_a_confirmer</t>
        </is>
      </c>
    </row>
    <row r="12" ht="110" customHeight="1">
      <c r="A12" s="28" t="inlineStr">
        <is>
          <t>Description</t>
        </is>
      </c>
      <c r="B12" s="29" t="inlineStr">
        <is>
          <t>- MURS COMMERCIAUX LOUÉS – PARIS 12ᵉ – INVESTISSEMENT LOCATIF – RENTABILITÉ 8 % À vendre, murs commerciaux actuellement loués, situés dans le 12ᵉ arrondissement de Paris (75012). Le local développe environ 28 m² en rez-de-chaussée, complétés par environ 10 m² en sous-sol. Le bien est actuellement exploité comme salon de massage et bénéficie d’un bail commercial 3 / 6/9, en cours depuis le 1er septembre 2020. Informations principales : - Paris 12ᵉ – 75012 - Environ 28 m² en RDC + 10 m² en sous-sol - Bail commercial 3 / 6/9 depuis le Septembre / 2020 - Loyer annuel : 18 373 € HC / HT - Taxe foncière : 568 € - Prix de vente : 232 000 € - Rentabilité brute indicative : environ 8 % Le local étant déjà loué, il s'adresse notamment à un investisseur recherchant des murs commerciaux avec un locataire déjà en place et des revenus locatifs existants. Dossier et informations complémentaires sur demande. La presente annonce immobiliere vise 2 lots situés dans une copropriété de 40 lots au total et ne faisant l'objet d'aucune procédure en cours citée à l'article L. 721-1 du code de la construction et de l'habitation. Montant moyen mensuel de charges déclaré par le vendeur : 87.33€ par mois (soit 1048 € annuel). Honoraires d'agence à la charge de l'acquéreur. Prix honoraires inclus : 219999 euros. Prix hors honoraires : 212000 euros. Honoraires TTC à la charge de l'acquéreur (3,77% du prix du bien hors honoraires) : 7999 euros. La présentation d'une pièce d'identité en cours de validité sera demandée à la visite, conformément à l'article L. 561-5 du Code monétaire et financier. Les informations sur les risques auxquels ce bien est exposé, y compris l'obligation légale de débroussaillement, sont disponibles sur le site Géorisques : M mandataire indépendant en immobilier (sans détention de fonds), agent commercial de la SAS immatriculé au RSAC de NANTERRE sous le numéro 922290168, titulaire de la carte de démarchage immobilier pour le compte de la société SAS.</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2026-10-29T19:24:04Z</dcterms:created>
  <dcterms:modified xsi:type="dcterms:W3CDTF">2026-10-29T19:24:04Z</dcterms:modified>
</cp:coreProperties>
</file>