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ynthèse" sheetId="1" state="visible" r:id="rId1"/>
    <sheet name="Amortissement" sheetId="2" state="visible" r:id="rId2"/>
    <sheet name="Annonce" sheetId="3" state="visible" r:id="rId3"/>
  </sheets>
  <definedNames>
    <definedName name="_xlnm.Print_Area" localSheetId="0">'Synthèse'!$A$1:$C$61</definedName>
  </definedNames>
  <calcPr calcId="124519" fullCalcOnLoad="1"/>
</workbook>
</file>

<file path=xl/styles.xml><?xml version="1.0" encoding="utf-8"?>
<styleSheet xmlns="http://schemas.openxmlformats.org/spreadsheetml/2006/main">
  <numFmts count="5">
    <numFmt numFmtId="164" formatCode="#,##0&quot; m²&quot;"/>
    <numFmt numFmtId="165" formatCode="#,##0&quot; €&quot;"/>
    <numFmt numFmtId="166" formatCode="0.0%"/>
    <numFmt numFmtId="167" formatCode="0.0"/>
    <numFmt numFmtId="168" formatCode="#,##0&quot; €/mois&quot;"/>
  </numFmts>
  <fonts count="14">
    <font>
      <name val="Calibri"/>
      <family val="2"/>
      <color theme="1"/>
      <sz val="11"/>
      <scheme val="minor"/>
    </font>
    <font>
      <name val="Calibri"/>
      <b val="1"/>
      <color rgb="00FFFFFF"/>
      <sz val="17"/>
    </font>
    <font>
      <b val="1"/>
      <sz val="13"/>
    </font>
    <font>
      <name val="Calibri"/>
      <color rgb="00404040"/>
      <sz val="11"/>
    </font>
    <font>
      <color rgb="000563C1"/>
      <sz val="10"/>
      <u val="single"/>
    </font>
    <font>
      <name val="Calibri"/>
      <i val="1"/>
      <color rgb="00808080"/>
      <sz val="9"/>
    </font>
    <font>
      <name val="Calibri"/>
      <b val="1"/>
      <color rgb="00FFFFFF"/>
      <sz val="11"/>
    </font>
    <font>
      <name val="Calibri"/>
      <b val="1"/>
      <sz val="11"/>
    </font>
    <font>
      <b val="1"/>
      <color rgb="0098351B"/>
      <sz val="10"/>
    </font>
    <font>
      <name val="Calibri"/>
      <b val="1"/>
      <color rgb="001D5240"/>
      <sz val="11"/>
    </font>
    <font>
      <name val="Calibri"/>
      <b val="1"/>
      <sz val="14"/>
    </font>
    <font>
      <i val="1"/>
      <sz val="10.5"/>
    </font>
    <font>
      <b val="1"/>
    </font>
    <font>
      <color rgb="000563C1"/>
      <u val="single"/>
    </font>
  </fonts>
  <fills count="5">
    <fill>
      <patternFill/>
    </fill>
    <fill>
      <patternFill patternType="gray125"/>
    </fill>
    <fill>
      <patternFill patternType="solid">
        <fgColor rgb="001D5240"/>
      </patternFill>
    </fill>
    <fill>
      <patternFill patternType="solid">
        <fgColor rgb="00D6A532"/>
      </patternFill>
    </fill>
    <fill>
      <patternFill patternType="solid">
        <fgColor rgb="00FFF2CC"/>
      </patternFill>
    </fill>
  </fills>
  <borders count="2">
    <border>
      <left/>
      <right/>
      <top/>
      <bottom/>
      <diagonal/>
    </border>
    <border>
      <bottom style="hair">
        <color rgb="00D9D9D9"/>
      </bottom>
    </border>
  </borders>
  <cellStyleXfs count="1">
    <xf numFmtId="0" fontId="0" fillId="0" borderId="0"/>
  </cellStyleXfs>
  <cellXfs count="32">
    <xf numFmtId="0" fontId="0" fillId="0" borderId="0" pivotButton="0" quotePrefix="0" xfId="0"/>
    <xf numFmtId="0" fontId="1" fillId="2" borderId="0" applyAlignment="1" pivotButton="0" quotePrefix="0" xfId="0">
      <alignment vertical="center" indent="1"/>
    </xf>
    <xf numFmtId="0" fontId="0" fillId="3"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0" applyAlignment="1" pivotButton="0" quotePrefix="0" xfId="0">
      <alignment vertical="center" indent="1"/>
    </xf>
    <xf numFmtId="165" fontId="0" fillId="0" borderId="0" pivotButton="0" quotePrefix="0" xfId="0"/>
    <xf numFmtId="0" fontId="9" fillId="0" borderId="1" pivotButton="0" quotePrefix="0" xfId="0"/>
    <xf numFmtId="165" fontId="10" fillId="0" borderId="1" pivotButton="0" quotePrefix="0" xfId="0"/>
    <xf numFmtId="168" fontId="10" fillId="0" borderId="1" pivotButton="0" quotePrefix="0" xfId="0"/>
    <xf numFmtId="2" fontId="10" fillId="0" borderId="1" pivotButton="0" quotePrefix="0" xfId="0"/>
    <xf numFmtId="0" fontId="11" fillId="0" borderId="0" applyAlignment="1" pivotButton="0" quotePrefix="0" xfId="0">
      <alignment vertical="top" wrapText="1"/>
    </xf>
    <xf numFmtId="0" fontId="3" fillId="0" borderId="1" pivotButton="0" quotePrefix="0" xfId="0"/>
    <xf numFmtId="0" fontId="7" fillId="0" borderId="1" pivotButton="0" quotePrefix="0" xfId="0"/>
    <xf numFmtId="164" fontId="7" fillId="0" borderId="1" pivotButton="0" quotePrefix="0" xfId="0"/>
    <xf numFmtId="165" fontId="7" fillId="0" borderId="1" pivotButton="0" quotePrefix="0" xfId="0"/>
    <xf numFmtId="0" fontId="5" fillId="0" borderId="0" applyAlignment="1" pivotButton="0" quotePrefix="0" xfId="0">
      <alignment vertical="center" wrapText="1"/>
    </xf>
    <xf numFmtId="165" fontId="7" fillId="4" borderId="1" pivotButton="0" quotePrefix="0" xfId="0"/>
    <xf numFmtId="166" fontId="7" fillId="4" borderId="1" pivotButton="0" quotePrefix="0" xfId="0"/>
    <xf numFmtId="1" fontId="7" fillId="4" borderId="1" pivotButton="0" quotePrefix="0" xfId="0"/>
    <xf numFmtId="167" fontId="7" fillId="4" borderId="1" pivotButton="0" quotePrefix="0" xfId="0"/>
    <xf numFmtId="168" fontId="7" fillId="0" borderId="1" pivotButton="0" quotePrefix="0" xfId="0"/>
    <xf numFmtId="168" fontId="2" fillId="0" borderId="1" pivotButton="0" quotePrefix="0" xfId="0"/>
    <xf numFmtId="166" fontId="7" fillId="0" borderId="1" pivotButton="0" quotePrefix="0" xfId="0"/>
    <xf numFmtId="2" fontId="7" fillId="0" borderId="1" pivotButton="0" quotePrefix="0" xfId="0"/>
    <xf numFmtId="0" fontId="8" fillId="0" borderId="0" applyAlignment="1" pivotButton="0" quotePrefix="0" xfId="0">
      <alignment vertical="top" wrapText="1"/>
    </xf>
    <xf numFmtId="0" fontId="6" fillId="2" borderId="0" applyAlignment="1" pivotButton="0" quotePrefix="0" xfId="0">
      <alignment vertical="center" wrapText="1"/>
    </xf>
    <xf numFmtId="0" fontId="12" fillId="0" borderId="0" pivotButton="0" quotePrefix="0" xfId="0"/>
    <xf numFmtId="0" fontId="0" fillId="0" borderId="0" applyAlignment="1" pivotButton="0" quotePrefix="0" xfId="0">
      <alignment vertical="top" wrapText="1"/>
    </xf>
    <xf numFmtId="0" fontId="13" fillId="0" borderId="0" applyAlignment="1" pivotButton="0" quotePrefix="0" xfId="0">
      <alignment vertical="top" wrapText="1"/>
    </xf>
  </cellXfs>
  <cellStyles count="1">
    <cellStyle name="Normal" xfId="0" builtinId="0" hidden="0"/>
  </cellStyles>
  <dxfs count="2">
    <dxf>
      <fill>
        <patternFill patternType="solid">
          <fgColor rgb="00E2EFDA"/>
        </patternFill>
      </fill>
    </dxf>
    <dxf>
      <fill>
        <patternFill patternType="solid">
          <fgColor rgb="00FCE4E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harts/chart1.xml><?xml version="1.0" encoding="utf-8"?>
<chartSpace xmlns:a="http://schemas.openxmlformats.org/drawingml/2006/main" xmlns="http://schemas.openxmlformats.org/drawingml/2006/chart">
  <chart>
    <title>
      <tx>
        <rich>
          <a:bodyPr/>
          <a:p>
            <a:pPr>
              <a:defRPr/>
            </a:pPr>
            <a:r>
              <a:t>Le loyer paie-t-il le crédit ?</a:t>
            </a:r>
          </a:p>
        </rich>
      </tx>
    </title>
    <plotArea>
      <barChart>
        <barDir val="col"/>
        <grouping val="clustered"/>
        <ser>
          <idx val="0"/>
          <order val="0"/>
          <spPr>
            <a:solidFill>
              <a:srgbClr val="1D5240"/>
            </a:solidFill>
            <a:ln>
              <a:prstDash val="solid"/>
            </a:ln>
          </spPr>
          <cat>
            <numRef>
              <f>'Synthèse'!$E$7:$E$9</f>
            </numRef>
          </cat>
          <val>
            <numRef>
              <f>'Synthèse'!$F$7:$F$9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numFmt formatCode="#,##0&quot; €&quot;" sourceLinked="0"/>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Capital restant dû</a:t>
            </a:r>
          </a:p>
        </rich>
      </tx>
    </title>
    <plotArea>
      <lineChart>
        <grouping val="standard"/>
        <ser>
          <idx val="0"/>
          <order val="0"/>
          <spPr>
            <a:ln w="22000">
              <a:solidFill>
                <a:srgbClr val="1D5240"/>
              </a:solidFill>
              <a:prstDash val="solid"/>
            </a:ln>
          </spPr>
          <marker>
            <symbol val="none"/>
            <spPr>
              <a:ln>
                <a:prstDash val="solid"/>
              </a:ln>
            </spPr>
          </marker>
          <cat>
            <numRef>
              <f>'Amortissement'!$A$2:$A$31</f>
            </numRef>
          </cat>
          <val>
            <numRef>
              <f>'Amortissement'!$E$2:$E$31</f>
            </numRef>
          </val>
        </ser>
        <axId val="10"/>
        <axId val="100"/>
      </lineChart>
      <catAx>
        <axId val="10"/>
        <scaling>
          <orientation val="minMax"/>
        </scaling>
        <axPos val="l"/>
        <title>
          <tx>
            <rich>
              <a:bodyPr/>
              <a:p>
                <a:pPr>
                  <a:defRPr/>
                </a:pPr>
                <a:r>
                  <a:t>Année</a:t>
                </a:r>
              </a:p>
            </rich>
          </tx>
        </title>
        <majorTickMark val="none"/>
        <minorTickMark val="none"/>
        <crossAx val="100"/>
        <lblOffset val="100"/>
      </catAx>
      <valAx>
        <axId val="100"/>
        <scaling>
          <orientation val="minMax"/>
        </scaling>
        <axPos val="l"/>
        <majorGridlines/>
        <numFmt formatCode="#,##0&quot; €&quot;" sourceLinked="0"/>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10</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8</col>
      <colOff>0</colOff>
      <row>1</row>
      <rowOff>0</rowOff>
    </from>
    <ext cx="5760000" cy="324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cessionpme.com/annonce,immo-entreprise-vente-local-commercial-boutique-paris-6e-75006,2750109,A,offre.html" TargetMode="External" Id="rId1" /><Relationship Type="http://schemas.openxmlformats.org/officeDocument/2006/relationships/drawing" Target="/xl/drawings/drawing1.xml" Id="rId2"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hyperlink" Target="https://www.cessionpme.com/annonce,immo-entreprise-vente-local-commercial-boutique-paris-6e-75006,2750109,A,offre.html" TargetMode="External" Id="rId1" /></Relationships>
</file>

<file path=xl/worksheets/sheet1.xml><?xml version="1.0" encoding="utf-8"?>
<worksheet xmlns="http://schemas.openxmlformats.org/spreadsheetml/2006/main">
  <sheetPr>
    <outlinePr summaryBelow="1" summaryRight="1"/>
    <pageSetUpPr fitToPage="1"/>
  </sheetPr>
  <dimension ref="A1:F60"/>
  <sheetViews>
    <sheetView showGridLines="0" workbookViewId="0">
      <selection activeCell="A1" sqref="A1"/>
    </sheetView>
  </sheetViews>
  <sheetFormatPr baseColWidth="8" defaultRowHeight="15"/>
  <cols>
    <col width="38" customWidth="1" min="1" max="1"/>
    <col width="17" customWidth="1" min="2" max="2"/>
    <col width="46" customWidth="1" min="3" max="3"/>
  </cols>
  <sheetData>
    <row r="1" ht="34" customHeight="1">
      <c r="A1" s="1" t="inlineStr">
        <is>
          <t>Les Murs.   Dossier de financement — murs commerciaux</t>
        </is>
      </c>
    </row>
    <row r="2" ht="3" customHeight="1">
      <c r="A2" s="2" t="n"/>
    </row>
    <row r="3">
      <c r="A3" s="3" t="inlineStr">
        <is>
          <t>Vente Local commercial 44m² Paris</t>
        </is>
      </c>
    </row>
    <row r="4">
      <c r="A4" s="4" t="inlineStr">
        <is>
          <t>Paris 6e (75006) — annonce cessionpme du 2026-07-03</t>
        </is>
      </c>
      <c r="C4" s="5" t="inlineStr">
        <is>
          <t>Voir l'annonce en ligne ↗</t>
        </is>
      </c>
    </row>
    <row r="5">
      <c r="A5" s="6" t="inlineStr">
        <is>
          <t>Dossier généré le 17/10/2026 — indicatif, l'offre de prêt de la banque fait foi.</t>
        </is>
      </c>
    </row>
    <row r="7" ht="18" customHeight="1">
      <c r="A7" s="7" t="inlineStr">
        <is>
          <t>L'ESSENTIEL — ce que votre conseiller lit en premier</t>
        </is>
      </c>
      <c r="E7" s="6" t="inlineStr">
        <is>
          <t>Loyer mensuel</t>
        </is>
      </c>
      <c r="F7" s="8">
        <f>IFERROR(B20,0)</f>
        <v/>
      </c>
    </row>
    <row r="8">
      <c r="A8" s="9" t="inlineStr">
        <is>
          <t>Prix d'achat retenu</t>
        </is>
      </c>
      <c r="B8" s="10">
        <f>B25</f>
        <v/>
      </c>
      <c r="E8" s="6" t="inlineStr">
        <is>
          <t>Crédit + charges / mois</t>
        </is>
      </c>
      <c r="F8" s="8">
        <f>B38-(B43+B44+B45)/12</f>
        <v/>
      </c>
    </row>
    <row r="9">
      <c r="A9" s="9" t="inlineStr">
        <is>
          <t>Apport nécessaire</t>
        </is>
      </c>
      <c r="B9" s="10">
        <f>B36</f>
        <v/>
      </c>
      <c r="E9" s="6" t="inlineStr">
        <is>
          <t>Cash-flow</t>
        </is>
      </c>
      <c r="F9" s="8">
        <f>B49</f>
        <v/>
      </c>
    </row>
    <row r="10">
      <c r="A10" s="9" t="inlineStr">
        <is>
          <t>Mensualité de crédit estimée</t>
        </is>
      </c>
      <c r="B10" s="11">
        <f>B38</f>
        <v/>
      </c>
    </row>
    <row r="11">
      <c r="A11" s="9" t="inlineStr">
        <is>
          <t>Cash-flow mensuel attendu</t>
        </is>
      </c>
      <c r="B11" s="11">
        <f>B49</f>
        <v/>
      </c>
    </row>
    <row r="12">
      <c r="A12" s="9" t="inlineStr">
        <is>
          <t>DSCR (≥ 1,20 rassure)</t>
        </is>
      </c>
      <c r="B12" s="12">
        <f>B54</f>
        <v/>
      </c>
    </row>
    <row r="13">
      <c r="A13" s="13" t="inlineStr">
        <is>
          <t>EN CLAIR — Sur la base d'un loyer ESTIMÉ (pas de bail signé à ce stade) : aux hypothèses de ce dossier (apport 20 %, crédit 5,34 % sur 20 ans, charges provisionnées), le bien s'autofinance : le loyer couvre crédit et charges et laisse environ +754 €/mois.</t>
        </is>
      </c>
    </row>
    <row r="14"/>
    <row r="15" ht="18" customHeight="1">
      <c r="A15" s="7" t="inlineStr">
        <is>
          <t>LE BIEN</t>
        </is>
      </c>
    </row>
    <row r="16">
      <c r="A16" s="14" t="inlineStr">
        <is>
          <t>État locatif</t>
        </is>
      </c>
      <c r="B16" s="15" t="inlineStr">
        <is>
          <t>Murs libres — local à louer après l'achat</t>
        </is>
      </c>
    </row>
    <row r="17">
      <c r="A17" s="14" t="inlineStr">
        <is>
          <t>Surface</t>
        </is>
      </c>
      <c r="B17" s="16" t="n">
        <v>44</v>
      </c>
    </row>
    <row r="18">
      <c r="A18" s="14" t="inlineStr">
        <is>
          <t>Prix affiché</t>
        </is>
      </c>
      <c r="B18" s="17" t="n">
        <v>200000</v>
      </c>
    </row>
    <row r="19">
      <c r="A19" s="14" t="inlineStr">
        <is>
          <t>Prix au m²</t>
        </is>
      </c>
      <c r="B19" s="17">
        <f>IFERROR(B18/B17,"")</f>
        <v/>
      </c>
    </row>
    <row r="20">
      <c r="A20" s="14" t="inlineStr">
        <is>
          <t>Loyer mensuel HT</t>
        </is>
      </c>
      <c r="B20" s="17" t="n">
        <v>2252</v>
      </c>
      <c r="C20" s="18" t="inlineStr">
        <is>
          <t>loyer du bail en place (à faire confirmer par le bail)</t>
        </is>
      </c>
    </row>
    <row r="21">
      <c r="A21" s="14" t="inlineStr">
        <is>
          <t>Marché local (prix/m²)</t>
        </is>
      </c>
      <c r="B21" s="15" t="inlineStr">
        <is>
          <t>6 858 à 14 091 €/m²</t>
        </is>
      </c>
      <c r="C21" s="18" t="inlineStr">
        <is>
          <t>ce bien est 59 % SOUS la médiane locale</t>
        </is>
      </c>
    </row>
    <row r="22">
      <c r="A22" s="14" t="inlineStr">
        <is>
          <t>Source de la fourchette</t>
        </is>
      </c>
      <c r="B22" s="15" t="inlineStr">
        <is>
          <t>284 ventes réelles 2023-2025 (DVF)</t>
        </is>
      </c>
      <c r="C22" s="18" t="inlineStr">
        <is>
          <t>DVF = prix réellement payés, enregistrés chez le notaire (data.gouv.fr)</t>
        </is>
      </c>
    </row>
    <row r="24" ht="18" customHeight="1">
      <c r="A24" s="7" t="inlineStr">
        <is>
          <t>HYPOTHÈSES — cellules jaunes à ajuster avec votre conseiller</t>
        </is>
      </c>
    </row>
    <row r="25">
      <c r="A25" s="14" t="inlineStr">
        <is>
          <t>Prix négocié retenu</t>
        </is>
      </c>
      <c r="B25" s="19" t="n">
        <v>200000</v>
      </c>
      <c r="C25" s="18" t="inlineStr">
        <is>
          <t>par défaut le prix affiché — un prix demandé se négocie</t>
        </is>
      </c>
    </row>
    <row r="26">
      <c r="A26" s="14" t="inlineStr">
        <is>
          <t>Frais d'acquisition (notaire, garanties)</t>
        </is>
      </c>
      <c r="B26" s="20" t="n">
        <v>0.08</v>
      </c>
    </row>
    <row r="27">
      <c r="A27" s="14" t="inlineStr">
        <is>
          <t>Apport personnel</t>
        </is>
      </c>
      <c r="B27" s="20" t="n">
        <v>0.2</v>
      </c>
    </row>
    <row r="28">
      <c r="A28" s="14" t="inlineStr">
        <is>
          <t>Taux du crédit (hors assurance)</t>
        </is>
      </c>
      <c r="B28" s="20" t="n">
        <v>0.0534</v>
      </c>
    </row>
    <row r="29">
      <c r="A29" s="14" t="inlineStr">
        <is>
          <t>Durée du crédit (années)</t>
        </is>
      </c>
      <c r="B29" s="21" t="n">
        <v>20</v>
      </c>
    </row>
    <row r="30">
      <c r="A30" s="14" t="inlineStr">
        <is>
          <t>Taxe foncière (en mois de loyer par an)</t>
        </is>
      </c>
      <c r="B30" s="22" t="n">
        <v>1</v>
      </c>
      <c r="C30" s="18" t="inlineStr">
        <is>
          <t>à remplacer par le montant réel dès que connu</t>
        </is>
      </c>
    </row>
    <row r="31">
      <c r="A31" s="14" t="inlineStr">
        <is>
          <t>Provision entretien &amp; vacance (% du loyer)</t>
        </is>
      </c>
      <c r="B31" s="20" t="n">
        <v>0.05</v>
      </c>
    </row>
    <row r="32">
      <c r="A32" s="14" t="inlineStr">
        <is>
          <t>Assurance propriétaire (PNO, €/an)</t>
        </is>
      </c>
      <c r="B32" s="19" t="n">
        <v>300</v>
      </c>
    </row>
    <row r="34" ht="18" customHeight="1">
      <c r="A34" s="7" t="inlineStr">
        <is>
          <t>PLAN DE FINANCEMENT</t>
        </is>
      </c>
    </row>
    <row r="35">
      <c r="A35" s="14" t="inlineStr">
        <is>
          <t>Coût d'acquisition total</t>
        </is>
      </c>
      <c r="B35" s="17">
        <f>B25*(1+B26)</f>
        <v/>
      </c>
      <c r="C35" s="18" t="inlineStr">
        <is>
          <t>prix négocié + frais d'acquisition</t>
        </is>
      </c>
    </row>
    <row r="36">
      <c r="A36" s="14" t="inlineStr">
        <is>
          <t>Apport personnel</t>
        </is>
      </c>
      <c r="B36" s="17">
        <f>B35*B27</f>
        <v/>
      </c>
    </row>
    <row r="37">
      <c r="A37" s="14" t="inlineStr">
        <is>
          <t>Montant emprunté</t>
        </is>
      </c>
      <c r="B37" s="17">
        <f>B35-B36</f>
        <v/>
      </c>
    </row>
    <row r="38">
      <c r="A38" s="14" t="inlineStr">
        <is>
          <t>Mensualité du crédit</t>
        </is>
      </c>
      <c r="B38" s="23">
        <f>IFERROR(-PMT(B28/12,B29*12,B37),0)</f>
        <v/>
      </c>
    </row>
    <row r="39">
      <c r="A39" s="14" t="inlineStr">
        <is>
          <t>Service de la dette (annuel)</t>
        </is>
      </c>
      <c r="B39" s="17">
        <f>B38*12</f>
        <v/>
      </c>
    </row>
    <row r="41" ht="18" customHeight="1">
      <c r="A41" s="7" t="inlineStr">
        <is>
          <t>EXPLOITATION ANNUELLE</t>
        </is>
      </c>
    </row>
    <row r="42">
      <c r="A42" s="14" t="inlineStr">
        <is>
          <t>Loyers annuels HT</t>
        </is>
      </c>
      <c r="B42" s="17">
        <f>IFERROR(B20*12,0)</f>
        <v/>
      </c>
    </row>
    <row r="43">
      <c r="A43" s="14" t="inlineStr">
        <is>
          <t>− Taxe foncière</t>
        </is>
      </c>
      <c r="B43" s="17">
        <f>-IFERROR(B20*B30,0)</f>
        <v/>
      </c>
    </row>
    <row r="44">
      <c r="A44" s="14" t="inlineStr">
        <is>
          <t>− Entretien &amp; vacance locative</t>
        </is>
      </c>
      <c r="B44" s="17">
        <f>-B42*B31</f>
        <v/>
      </c>
    </row>
    <row r="45">
      <c r="A45" s="14" t="inlineStr">
        <is>
          <t>− Assurance PNO</t>
        </is>
      </c>
      <c r="B45" s="17">
        <f>-B32</f>
        <v/>
      </c>
    </row>
    <row r="46">
      <c r="A46" s="14" t="inlineStr">
        <is>
          <t>Revenu net avant crédit</t>
        </is>
      </c>
      <c r="B46" s="17">
        <f>B42+B43+B44+B45</f>
        <v/>
      </c>
    </row>
    <row r="47">
      <c r="A47" s="14" t="inlineStr">
        <is>
          <t>− Remboursement du crédit</t>
        </is>
      </c>
      <c r="B47" s="17">
        <f>-B39</f>
        <v/>
      </c>
    </row>
    <row r="48">
      <c r="A48" s="14" t="inlineStr">
        <is>
          <t>Cash-flow annuel</t>
        </is>
      </c>
      <c r="B48" s="17">
        <f>B46-B39</f>
        <v/>
      </c>
    </row>
    <row r="49">
      <c r="A49" s="14" t="inlineStr">
        <is>
          <t>Cash-flow mensuel</t>
        </is>
      </c>
      <c r="B49" s="24">
        <f>B48/12</f>
        <v/>
      </c>
      <c r="C49" s="18" t="inlineStr">
        <is>
          <t>positif : le bien se paie tout seul, loyer ≥ crédit + charges</t>
        </is>
      </c>
    </row>
    <row r="51" ht="18" customHeight="1">
      <c r="A51" s="7" t="inlineStr">
        <is>
          <t>LES RATIOS QUE REGARDE LE BANQUIER</t>
        </is>
      </c>
    </row>
    <row r="52">
      <c r="A52" s="14" t="inlineStr">
        <is>
          <t>Rendement brut</t>
        </is>
      </c>
      <c r="B52" s="25">
        <f>IFERROR(B42/B25,"")</f>
        <v/>
      </c>
      <c r="C52" s="18" t="inlineStr">
        <is>
          <t>loyer annuel ÷ prix — la base de comparaison des biens</t>
        </is>
      </c>
    </row>
    <row r="53">
      <c r="A53" s="14" t="inlineStr">
        <is>
          <t>Rendement net avant crédit</t>
        </is>
      </c>
      <c r="B53" s="25">
        <f>IFERROR(B46/B35,"")</f>
        <v/>
      </c>
      <c r="C53" s="18" t="inlineStr">
        <is>
          <t>après taxe foncière, entretien et assurance</t>
        </is>
      </c>
    </row>
    <row r="54">
      <c r="A54" s="14" t="inlineStr">
        <is>
          <t>DSCR — couverture de la dette</t>
        </is>
      </c>
      <c r="B54" s="26">
        <f>IFERROR(B46/B39,"")</f>
        <v/>
      </c>
      <c r="C54" s="18" t="inlineStr">
        <is>
          <t>revenu net ÷ crédit : ≥ 1,20 rassure une banque</t>
        </is>
      </c>
    </row>
    <row r="55">
      <c r="A55" s="14" t="inlineStr">
        <is>
          <t>LTV — part financée par la banque</t>
        </is>
      </c>
      <c r="B55" s="25">
        <f>IFERROR(B37/B25,"")</f>
        <v/>
      </c>
      <c r="C55" s="18" t="inlineStr">
        <is>
          <t>≤ 80 % est la zone de confort bancaire</t>
        </is>
      </c>
    </row>
    <row r="56">
      <c r="A56" s="14" t="inlineStr">
        <is>
          <t>Effort d'épargne mensuel si négatif</t>
        </is>
      </c>
      <c r="B56" s="23">
        <f>MAX(0,-B48/12)</f>
        <v/>
      </c>
    </row>
    <row r="57">
      <c r="A57" s="14" t="inlineStr">
        <is>
          <t>Score de l'outil de veille</t>
        </is>
      </c>
      <c r="B57" s="15" t="inlineStr">
        <is>
          <t>64/100</t>
        </is>
      </c>
      <c r="C57" s="18" t="inlineStr">
        <is>
          <t>rendement, emplacement, prix vs marché, financement, fiscalité</t>
        </is>
      </c>
    </row>
    <row r="59">
      <c r="A59" s="27" t="inlineStr">
        <is>
          <t>⚠ AVERTISSEMENT : le rendement affiché par le vendeur est anormalement élevé. Exiger le bail et les quittances avant toute offre — ce dossier reprend le loyer annoncé tel quel.</t>
        </is>
      </c>
    </row>
    <row r="60"/>
  </sheetData>
  <mergeCells count="12">
    <mergeCell ref="A4:B4"/>
    <mergeCell ref="A41:C41"/>
    <mergeCell ref="A1:C1"/>
    <mergeCell ref="A59:C60"/>
    <mergeCell ref="A3:C3"/>
    <mergeCell ref="A13:C14"/>
    <mergeCell ref="A34:C34"/>
    <mergeCell ref="A15:C15"/>
    <mergeCell ref="A7:C7"/>
    <mergeCell ref="A24:C24"/>
    <mergeCell ref="A2:C2"/>
    <mergeCell ref="A51:C51"/>
  </mergeCells>
  <conditionalFormatting sqref="B48">
    <cfRule type="cellIs" priority="1" operator="greaterThanOrEqual" dxfId="0">
      <formula>0</formula>
    </cfRule>
    <cfRule type="cellIs" priority="2" operator="lessThan" dxfId="1">
      <formula>0</formula>
    </cfRule>
  </conditionalFormatting>
  <conditionalFormatting sqref="B49">
    <cfRule type="cellIs" priority="3" operator="greaterThanOrEqual" dxfId="0">
      <formula>0</formula>
    </cfRule>
    <cfRule type="cellIs" priority="4" operator="lessThan" dxfId="1">
      <formula>0</formula>
    </cfRule>
  </conditionalFormatting>
  <conditionalFormatting sqref="B54">
    <cfRule type="cellIs" priority="5" operator="greaterThanOrEqual" dxfId="0">
      <formula>1.2</formula>
    </cfRule>
    <cfRule type="cellIs" priority="6" operator="lessThan" dxfId="1">
      <formula>1</formula>
    </cfRule>
  </conditionalFormatting>
  <conditionalFormatting sqref="B11">
    <cfRule type="cellIs" priority="7" operator="greaterThanOrEqual" dxfId="0">
      <formula>0</formula>
    </cfRule>
    <cfRule type="cellIs" priority="8" operator="lessThan" dxfId="1">
      <formula>0</formula>
    </cfRule>
  </conditionalFormatting>
  <hyperlinks>
    <hyperlink xmlns:r="http://schemas.openxmlformats.org/officeDocument/2006/relationships" ref="C4" r:id="rId1"/>
  </hyperlinks>
  <pageMargins left="0.75" right="0.75" top="1" bottom="1" header="0.5" footer="0.5"/>
  <pageSetup orientation="portrait" fitToHeight="0" fitToWidth="1"/>
  <headerFooter>
    <oddHeader/>
    <oddFooter>&amp;C&amp;8 Les Murs. — dossier indicatif généré automatiquement ; l'offre de prêt de la banque fait foi</oddFooter>
    <evenHeader/>
    <evenFooter/>
    <firstHeader/>
    <firstFooter/>
  </headerFooter>
  <drawing xmlns:r="http://schemas.openxmlformats.org/officeDocument/2006/relationships" r:id="rId2"/>
</worksheet>
</file>

<file path=xl/worksheets/sheet2.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hidden="1" width="13" customWidth="1" min="7" max="7"/>
  </cols>
  <sheetData>
    <row r="1">
      <c r="A1" s="28" t="inlineStr">
        <is>
          <t>Année</t>
        </is>
      </c>
      <c r="B1" s="28" t="inlineStr">
        <is>
          <t>Capital dû en début d'année</t>
        </is>
      </c>
      <c r="C1" s="28" t="inlineStr">
        <is>
          <t>Intérêts de l'année</t>
        </is>
      </c>
      <c r="D1" s="28" t="inlineStr">
        <is>
          <t>Capital remboursé</t>
        </is>
      </c>
      <c r="E1" s="28" t="inlineStr">
        <is>
          <t>Capital restant dû</t>
        </is>
      </c>
      <c r="G1">
        <f>'Synthèse'!B29</f>
        <v/>
      </c>
    </row>
    <row r="2">
      <c r="A2" t="n">
        <v>1</v>
      </c>
      <c r="B2" s="8">
        <f>IF(A2&lt;=$G$1,'Synthèse'!$B$37,"")</f>
        <v/>
      </c>
      <c r="C2" s="8">
        <f>IF(A2&lt;=$G$1,B2*$G$2,"")</f>
        <v/>
      </c>
      <c r="D2" s="8">
        <f>IF(A2&lt;=$G$1,MIN(B2,$G$3-C2),"")</f>
        <v/>
      </c>
      <c r="E2" s="8">
        <f>IF(A2&lt;=$G$1,MAX(0,B2-D2),"")</f>
        <v/>
      </c>
      <c r="F2" s="6" t="inlineStr">
        <is>
          <t>Tableau indicatif (pas annuel) — l'offre de prêt de la banque fait foi.</t>
        </is>
      </c>
      <c r="G2">
        <f>'Synthèse'!B28</f>
        <v/>
      </c>
    </row>
    <row r="3">
      <c r="A3" t="n">
        <v>2</v>
      </c>
      <c r="B3" s="8">
        <f>IF(A3&lt;=$G$1,E2,"")</f>
        <v/>
      </c>
      <c r="C3" s="8">
        <f>IF(A3&lt;=$G$1,B3*$G$2,"")</f>
        <v/>
      </c>
      <c r="D3" s="8">
        <f>IF(A3&lt;=$G$1,MIN(B3,$G$3-C3),"")</f>
        <v/>
      </c>
      <c r="E3" s="8">
        <f>IF(A3&lt;=$G$1,MAX(0,B3-D3),"")</f>
        <v/>
      </c>
      <c r="G3">
        <f>'Synthèse'!B39</f>
        <v/>
      </c>
    </row>
    <row r="4">
      <c r="A4" t="n">
        <v>3</v>
      </c>
      <c r="B4" s="8">
        <f>IF(A4&lt;=$G$1,E3,"")</f>
        <v/>
      </c>
      <c r="C4" s="8">
        <f>IF(A4&lt;=$G$1,B4*$G$2,"")</f>
        <v/>
      </c>
      <c r="D4" s="8">
        <f>IF(A4&lt;=$G$1,MIN(B4,$G$3-C4),"")</f>
        <v/>
      </c>
      <c r="E4" s="8">
        <f>IF(A4&lt;=$G$1,MAX(0,B4-D4),"")</f>
        <v/>
      </c>
    </row>
    <row r="5">
      <c r="A5" t="n">
        <v>4</v>
      </c>
      <c r="B5" s="8">
        <f>IF(A5&lt;=$G$1,E4,"")</f>
        <v/>
      </c>
      <c r="C5" s="8">
        <f>IF(A5&lt;=$G$1,B5*$G$2,"")</f>
        <v/>
      </c>
      <c r="D5" s="8">
        <f>IF(A5&lt;=$G$1,MIN(B5,$G$3-C5),"")</f>
        <v/>
      </c>
      <c r="E5" s="8">
        <f>IF(A5&lt;=$G$1,MAX(0,B5-D5),"")</f>
        <v/>
      </c>
    </row>
    <row r="6">
      <c r="A6" t="n">
        <v>5</v>
      </c>
      <c r="B6" s="8">
        <f>IF(A6&lt;=$G$1,E5,"")</f>
        <v/>
      </c>
      <c r="C6" s="8">
        <f>IF(A6&lt;=$G$1,B6*$G$2,"")</f>
        <v/>
      </c>
      <c r="D6" s="8">
        <f>IF(A6&lt;=$G$1,MIN(B6,$G$3-C6),"")</f>
        <v/>
      </c>
      <c r="E6" s="8">
        <f>IF(A6&lt;=$G$1,MAX(0,B6-D6),"")</f>
        <v/>
      </c>
    </row>
    <row r="7">
      <c r="A7" t="n">
        <v>6</v>
      </c>
      <c r="B7" s="8">
        <f>IF(A7&lt;=$G$1,E6,"")</f>
        <v/>
      </c>
      <c r="C7" s="8">
        <f>IF(A7&lt;=$G$1,B7*$G$2,"")</f>
        <v/>
      </c>
      <c r="D7" s="8">
        <f>IF(A7&lt;=$G$1,MIN(B7,$G$3-C7),"")</f>
        <v/>
      </c>
      <c r="E7" s="8">
        <f>IF(A7&lt;=$G$1,MAX(0,B7-D7),"")</f>
        <v/>
      </c>
    </row>
    <row r="8">
      <c r="A8" t="n">
        <v>7</v>
      </c>
      <c r="B8" s="8">
        <f>IF(A8&lt;=$G$1,E7,"")</f>
        <v/>
      </c>
      <c r="C8" s="8">
        <f>IF(A8&lt;=$G$1,B8*$G$2,"")</f>
        <v/>
      </c>
      <c r="D8" s="8">
        <f>IF(A8&lt;=$G$1,MIN(B8,$G$3-C8),"")</f>
        <v/>
      </c>
      <c r="E8" s="8">
        <f>IF(A8&lt;=$G$1,MAX(0,B8-D8),"")</f>
        <v/>
      </c>
    </row>
    <row r="9">
      <c r="A9" t="n">
        <v>8</v>
      </c>
      <c r="B9" s="8">
        <f>IF(A9&lt;=$G$1,E8,"")</f>
        <v/>
      </c>
      <c r="C9" s="8">
        <f>IF(A9&lt;=$G$1,B9*$G$2,"")</f>
        <v/>
      </c>
      <c r="D9" s="8">
        <f>IF(A9&lt;=$G$1,MIN(B9,$G$3-C9),"")</f>
        <v/>
      </c>
      <c r="E9" s="8">
        <f>IF(A9&lt;=$G$1,MAX(0,B9-D9),"")</f>
        <v/>
      </c>
    </row>
    <row r="10">
      <c r="A10" t="n">
        <v>9</v>
      </c>
      <c r="B10" s="8">
        <f>IF(A10&lt;=$G$1,E9,"")</f>
        <v/>
      </c>
      <c r="C10" s="8">
        <f>IF(A10&lt;=$G$1,B10*$G$2,"")</f>
        <v/>
      </c>
      <c r="D10" s="8">
        <f>IF(A10&lt;=$G$1,MIN(B10,$G$3-C10),"")</f>
        <v/>
      </c>
      <c r="E10" s="8">
        <f>IF(A10&lt;=$G$1,MAX(0,B10-D10),"")</f>
        <v/>
      </c>
    </row>
    <row r="11">
      <c r="A11" t="n">
        <v>10</v>
      </c>
      <c r="B11" s="8">
        <f>IF(A11&lt;=$G$1,E10,"")</f>
        <v/>
      </c>
      <c r="C11" s="8">
        <f>IF(A11&lt;=$G$1,B11*$G$2,"")</f>
        <v/>
      </c>
      <c r="D11" s="8">
        <f>IF(A11&lt;=$G$1,MIN(B11,$G$3-C11),"")</f>
        <v/>
      </c>
      <c r="E11" s="8">
        <f>IF(A11&lt;=$G$1,MAX(0,B11-D11),"")</f>
        <v/>
      </c>
    </row>
    <row r="12">
      <c r="A12" t="n">
        <v>11</v>
      </c>
      <c r="B12" s="8">
        <f>IF(A12&lt;=$G$1,E11,"")</f>
        <v/>
      </c>
      <c r="C12" s="8">
        <f>IF(A12&lt;=$G$1,B12*$G$2,"")</f>
        <v/>
      </c>
      <c r="D12" s="8">
        <f>IF(A12&lt;=$G$1,MIN(B12,$G$3-C12),"")</f>
        <v/>
      </c>
      <c r="E12" s="8">
        <f>IF(A12&lt;=$G$1,MAX(0,B12-D12),"")</f>
        <v/>
      </c>
    </row>
    <row r="13">
      <c r="A13" t="n">
        <v>12</v>
      </c>
      <c r="B13" s="8">
        <f>IF(A13&lt;=$G$1,E12,"")</f>
        <v/>
      </c>
      <c r="C13" s="8">
        <f>IF(A13&lt;=$G$1,B13*$G$2,"")</f>
        <v/>
      </c>
      <c r="D13" s="8">
        <f>IF(A13&lt;=$G$1,MIN(B13,$G$3-C13),"")</f>
        <v/>
      </c>
      <c r="E13" s="8">
        <f>IF(A13&lt;=$G$1,MAX(0,B13-D13),"")</f>
        <v/>
      </c>
    </row>
    <row r="14">
      <c r="A14" t="n">
        <v>13</v>
      </c>
      <c r="B14" s="8">
        <f>IF(A14&lt;=$G$1,E13,"")</f>
        <v/>
      </c>
      <c r="C14" s="8">
        <f>IF(A14&lt;=$G$1,B14*$G$2,"")</f>
        <v/>
      </c>
      <c r="D14" s="8">
        <f>IF(A14&lt;=$G$1,MIN(B14,$G$3-C14),"")</f>
        <v/>
      </c>
      <c r="E14" s="8">
        <f>IF(A14&lt;=$G$1,MAX(0,B14-D14),"")</f>
        <v/>
      </c>
    </row>
    <row r="15">
      <c r="A15" t="n">
        <v>14</v>
      </c>
      <c r="B15" s="8">
        <f>IF(A15&lt;=$G$1,E14,"")</f>
        <v/>
      </c>
      <c r="C15" s="8">
        <f>IF(A15&lt;=$G$1,B15*$G$2,"")</f>
        <v/>
      </c>
      <c r="D15" s="8">
        <f>IF(A15&lt;=$G$1,MIN(B15,$G$3-C15),"")</f>
        <v/>
      </c>
      <c r="E15" s="8">
        <f>IF(A15&lt;=$G$1,MAX(0,B15-D15),"")</f>
        <v/>
      </c>
    </row>
    <row r="16">
      <c r="A16" t="n">
        <v>15</v>
      </c>
      <c r="B16" s="8">
        <f>IF(A16&lt;=$G$1,E15,"")</f>
        <v/>
      </c>
      <c r="C16" s="8">
        <f>IF(A16&lt;=$G$1,B16*$G$2,"")</f>
        <v/>
      </c>
      <c r="D16" s="8">
        <f>IF(A16&lt;=$G$1,MIN(B16,$G$3-C16),"")</f>
        <v/>
      </c>
      <c r="E16" s="8">
        <f>IF(A16&lt;=$G$1,MAX(0,B16-D16),"")</f>
        <v/>
      </c>
    </row>
    <row r="17">
      <c r="A17" t="n">
        <v>16</v>
      </c>
      <c r="B17" s="8">
        <f>IF(A17&lt;=$G$1,E16,"")</f>
        <v/>
      </c>
      <c r="C17" s="8">
        <f>IF(A17&lt;=$G$1,B17*$G$2,"")</f>
        <v/>
      </c>
      <c r="D17" s="8">
        <f>IF(A17&lt;=$G$1,MIN(B17,$G$3-C17),"")</f>
        <v/>
      </c>
      <c r="E17" s="8">
        <f>IF(A17&lt;=$G$1,MAX(0,B17-D17),"")</f>
        <v/>
      </c>
    </row>
    <row r="18">
      <c r="A18" t="n">
        <v>17</v>
      </c>
      <c r="B18" s="8">
        <f>IF(A18&lt;=$G$1,E17,"")</f>
        <v/>
      </c>
      <c r="C18" s="8">
        <f>IF(A18&lt;=$G$1,B18*$G$2,"")</f>
        <v/>
      </c>
      <c r="D18" s="8">
        <f>IF(A18&lt;=$G$1,MIN(B18,$G$3-C18),"")</f>
        <v/>
      </c>
      <c r="E18" s="8">
        <f>IF(A18&lt;=$G$1,MAX(0,B18-D18),"")</f>
        <v/>
      </c>
    </row>
    <row r="19">
      <c r="A19" t="n">
        <v>18</v>
      </c>
      <c r="B19" s="8">
        <f>IF(A19&lt;=$G$1,E18,"")</f>
        <v/>
      </c>
      <c r="C19" s="8">
        <f>IF(A19&lt;=$G$1,B19*$G$2,"")</f>
        <v/>
      </c>
      <c r="D19" s="8">
        <f>IF(A19&lt;=$G$1,MIN(B19,$G$3-C19),"")</f>
        <v/>
      </c>
      <c r="E19" s="8">
        <f>IF(A19&lt;=$G$1,MAX(0,B19-D19),"")</f>
        <v/>
      </c>
    </row>
    <row r="20">
      <c r="A20" t="n">
        <v>19</v>
      </c>
      <c r="B20" s="8">
        <f>IF(A20&lt;=$G$1,E19,"")</f>
        <v/>
      </c>
      <c r="C20" s="8">
        <f>IF(A20&lt;=$G$1,B20*$G$2,"")</f>
        <v/>
      </c>
      <c r="D20" s="8">
        <f>IF(A20&lt;=$G$1,MIN(B20,$G$3-C20),"")</f>
        <v/>
      </c>
      <c r="E20" s="8">
        <f>IF(A20&lt;=$G$1,MAX(0,B20-D20),"")</f>
        <v/>
      </c>
    </row>
    <row r="21">
      <c r="A21" t="n">
        <v>20</v>
      </c>
      <c r="B21" s="8">
        <f>IF(A21&lt;=$G$1,E20,"")</f>
        <v/>
      </c>
      <c r="C21" s="8">
        <f>IF(A21&lt;=$G$1,B21*$G$2,"")</f>
        <v/>
      </c>
      <c r="D21" s="8">
        <f>IF(A21&lt;=$G$1,MIN(B21,$G$3-C21),"")</f>
        <v/>
      </c>
      <c r="E21" s="8">
        <f>IF(A21&lt;=$G$1,MAX(0,B21-D21),"")</f>
        <v/>
      </c>
    </row>
    <row r="22">
      <c r="A22" t="n">
        <v>21</v>
      </c>
      <c r="B22" s="8">
        <f>IF(A22&lt;=$G$1,E21,"")</f>
        <v/>
      </c>
      <c r="C22" s="8">
        <f>IF(A22&lt;=$G$1,B22*$G$2,"")</f>
        <v/>
      </c>
      <c r="D22" s="8">
        <f>IF(A22&lt;=$G$1,MIN(B22,$G$3-C22),"")</f>
        <v/>
      </c>
      <c r="E22" s="8">
        <f>IF(A22&lt;=$G$1,MAX(0,B22-D22),"")</f>
        <v/>
      </c>
    </row>
    <row r="23">
      <c r="A23" t="n">
        <v>22</v>
      </c>
      <c r="B23" s="8">
        <f>IF(A23&lt;=$G$1,E22,"")</f>
        <v/>
      </c>
      <c r="C23" s="8">
        <f>IF(A23&lt;=$G$1,B23*$G$2,"")</f>
        <v/>
      </c>
      <c r="D23" s="8">
        <f>IF(A23&lt;=$G$1,MIN(B23,$G$3-C23),"")</f>
        <v/>
      </c>
      <c r="E23" s="8">
        <f>IF(A23&lt;=$G$1,MAX(0,B23-D23),"")</f>
        <v/>
      </c>
    </row>
    <row r="24">
      <c r="A24" t="n">
        <v>23</v>
      </c>
      <c r="B24" s="8">
        <f>IF(A24&lt;=$G$1,E23,"")</f>
        <v/>
      </c>
      <c r="C24" s="8">
        <f>IF(A24&lt;=$G$1,B24*$G$2,"")</f>
        <v/>
      </c>
      <c r="D24" s="8">
        <f>IF(A24&lt;=$G$1,MIN(B24,$G$3-C24),"")</f>
        <v/>
      </c>
      <c r="E24" s="8">
        <f>IF(A24&lt;=$G$1,MAX(0,B24-D24),"")</f>
        <v/>
      </c>
    </row>
    <row r="25">
      <c r="A25" t="n">
        <v>24</v>
      </c>
      <c r="B25" s="8">
        <f>IF(A25&lt;=$G$1,E24,"")</f>
        <v/>
      </c>
      <c r="C25" s="8">
        <f>IF(A25&lt;=$G$1,B25*$G$2,"")</f>
        <v/>
      </c>
      <c r="D25" s="8">
        <f>IF(A25&lt;=$G$1,MIN(B25,$G$3-C25),"")</f>
        <v/>
      </c>
      <c r="E25" s="8">
        <f>IF(A25&lt;=$G$1,MAX(0,B25-D25),"")</f>
        <v/>
      </c>
    </row>
    <row r="26">
      <c r="A26" t="n">
        <v>25</v>
      </c>
      <c r="B26" s="8">
        <f>IF(A26&lt;=$G$1,E25,"")</f>
        <v/>
      </c>
      <c r="C26" s="8">
        <f>IF(A26&lt;=$G$1,B26*$G$2,"")</f>
        <v/>
      </c>
      <c r="D26" s="8">
        <f>IF(A26&lt;=$G$1,MIN(B26,$G$3-C26),"")</f>
        <v/>
      </c>
      <c r="E26" s="8">
        <f>IF(A26&lt;=$G$1,MAX(0,B26-D26),"")</f>
        <v/>
      </c>
    </row>
    <row r="27">
      <c r="A27" t="n">
        <v>26</v>
      </c>
      <c r="B27" s="8">
        <f>IF(A27&lt;=$G$1,E26,"")</f>
        <v/>
      </c>
      <c r="C27" s="8">
        <f>IF(A27&lt;=$G$1,B27*$G$2,"")</f>
        <v/>
      </c>
      <c r="D27" s="8">
        <f>IF(A27&lt;=$G$1,MIN(B27,$G$3-C27),"")</f>
        <v/>
      </c>
      <c r="E27" s="8">
        <f>IF(A27&lt;=$G$1,MAX(0,B27-D27),"")</f>
        <v/>
      </c>
    </row>
    <row r="28">
      <c r="A28" t="n">
        <v>27</v>
      </c>
      <c r="B28" s="8">
        <f>IF(A28&lt;=$G$1,E27,"")</f>
        <v/>
      </c>
      <c r="C28" s="8">
        <f>IF(A28&lt;=$G$1,B28*$G$2,"")</f>
        <v/>
      </c>
      <c r="D28" s="8">
        <f>IF(A28&lt;=$G$1,MIN(B28,$G$3-C28),"")</f>
        <v/>
      </c>
      <c r="E28" s="8">
        <f>IF(A28&lt;=$G$1,MAX(0,B28-D28),"")</f>
        <v/>
      </c>
    </row>
    <row r="29">
      <c r="A29" t="n">
        <v>28</v>
      </c>
      <c r="B29" s="8">
        <f>IF(A29&lt;=$G$1,E28,"")</f>
        <v/>
      </c>
      <c r="C29" s="8">
        <f>IF(A29&lt;=$G$1,B29*$G$2,"")</f>
        <v/>
      </c>
      <c r="D29" s="8">
        <f>IF(A29&lt;=$G$1,MIN(B29,$G$3-C29),"")</f>
        <v/>
      </c>
      <c r="E29" s="8">
        <f>IF(A29&lt;=$G$1,MAX(0,B29-D29),"")</f>
        <v/>
      </c>
    </row>
    <row r="30">
      <c r="A30" t="n">
        <v>29</v>
      </c>
      <c r="B30" s="8">
        <f>IF(A30&lt;=$G$1,E29,"")</f>
        <v/>
      </c>
      <c r="C30" s="8">
        <f>IF(A30&lt;=$G$1,B30*$G$2,"")</f>
        <v/>
      </c>
      <c r="D30" s="8">
        <f>IF(A30&lt;=$G$1,MIN(B30,$G$3-C30),"")</f>
        <v/>
      </c>
      <c r="E30" s="8">
        <f>IF(A30&lt;=$G$1,MAX(0,B30-D30),"")</f>
        <v/>
      </c>
    </row>
    <row r="31">
      <c r="A31" t="n">
        <v>30</v>
      </c>
      <c r="B31" s="8">
        <f>IF(A31&lt;=$G$1,E30,"")</f>
        <v/>
      </c>
      <c r="C31" s="8">
        <f>IF(A31&lt;=$G$1,B31*$G$2,"")</f>
        <v/>
      </c>
      <c r="D31" s="8">
        <f>IF(A31&lt;=$G$1,MIN(B31,$G$3-C31),"")</f>
        <v/>
      </c>
      <c r="E31" s="8">
        <f>IF(A31&lt;=$G$1,MAX(0,B31-D31),"")</f>
        <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B12"/>
  <sheetViews>
    <sheetView showGridLines="0" workbookViewId="0">
      <selection activeCell="A1" sqref="A1"/>
    </sheetView>
  </sheetViews>
  <sheetFormatPr baseColWidth="8" defaultRowHeight="15"/>
  <cols>
    <col width="24" customWidth="1" min="1" max="1"/>
    <col width="100" customWidth="1" min="2" max="2"/>
  </cols>
  <sheetData>
    <row r="1">
      <c r="A1" s="29" t="inlineStr">
        <is>
          <t>Titre</t>
        </is>
      </c>
      <c r="B1" s="30" t="inlineStr">
        <is>
          <t>Vente Local commercial 44m² Paris</t>
        </is>
      </c>
    </row>
    <row r="2">
      <c r="A2" s="29" t="inlineStr">
        <is>
          <t>Lien</t>
        </is>
      </c>
      <c r="B2" s="31" t="inlineStr">
        <is>
          <t>https://www.cessionpme.com/annonce,immo-entreprise-vente-local-commercial-boutique-paris-6e-75006,2750109,A,offre.html</t>
        </is>
      </c>
    </row>
    <row r="3">
      <c r="A3" s="29" t="inlineStr">
        <is>
          <t>Ville</t>
        </is>
      </c>
      <c r="B3" s="30" t="inlineStr">
        <is>
          <t>Paris 6e (75006)</t>
        </is>
      </c>
    </row>
    <row r="4">
      <c r="A4" s="29" t="inlineStr">
        <is>
          <t>Source</t>
        </is>
      </c>
      <c r="B4" s="30" t="inlineStr">
        <is>
          <t>cessionpme</t>
        </is>
      </c>
    </row>
    <row r="5">
      <c r="A5" s="29" t="inlineStr">
        <is>
          <t>Première détection</t>
        </is>
      </c>
      <c r="B5" s="30" t="inlineStr">
        <is>
          <t>2026-07-03</t>
        </is>
      </c>
    </row>
    <row r="6">
      <c r="A6" s="29" t="inlineStr">
        <is>
          <t>Type</t>
        </is>
      </c>
      <c r="B6" s="30" t="inlineStr">
        <is>
          <t>Murs libres</t>
        </is>
      </c>
    </row>
    <row r="7">
      <c r="A7" s="29" t="inlineStr">
        <is>
          <t>Caractéristiques</t>
        </is>
      </c>
      <c r="B7" s="30" t="inlineStr">
        <is>
          <t>Extraction / vraie restauration possible · Terrasse</t>
        </is>
      </c>
    </row>
    <row r="8">
      <c r="A8" s="29" t="inlineStr">
        <is>
          <t>Évolution du prix</t>
        </is>
      </c>
      <c r="B8" s="30" t="inlineStr">
        <is>
          <t>stable depuis la première vue</t>
        </is>
      </c>
    </row>
    <row r="9">
      <c r="A9" s="29" t="inlineStr">
        <is>
          <t>Fourchette de marché</t>
        </is>
      </c>
      <c r="B9" s="30" t="inlineStr">
        <is>
          <t>284 ventes réelles 2023-2025 (DVF)</t>
        </is>
      </c>
    </row>
    <row r="10">
      <c r="A10" s="29" t="inlineStr">
        <is>
          <t>Lecture du prix</t>
        </is>
      </c>
      <c r="B10" s="30" t="inlineStr">
        <is>
          <t>Décote sans explication visible dans l'annonce : possible bonne affaire — ou défaut caché (état, copropriété, bail) à vérifier sur place.</t>
        </is>
      </c>
    </row>
    <row r="11">
      <c r="A11" s="29" t="inlineStr">
        <is>
          <t>Alertes</t>
        </is>
      </c>
      <c r="B11" s="30" t="inlineStr">
        <is>
          <t>loyer_estime · rendement_anormalement_eleve</t>
        </is>
      </c>
    </row>
    <row r="12" ht="110" customHeight="1">
      <c r="A12" s="29" t="inlineStr">
        <is>
          <t>Description</t>
        </is>
      </c>
      <c r="B12" s="30" t="inlineStr">
        <is>
          <t>Notre équipe vous propose un restaurant 75006 d'une capacité de 24 couverts et une cuisine de plain pieds avec extraction de 400 tenu depuis 13 ans par un cuisinier japonais réalisant une cuisine bistrotière. Affaire clé en mains le matériel est récent et bien entretenu. Terrasse éphémère de 14 places. Le CA annuel moyen sur les trois dernières années est de 255K euros .Loyer de 2252 euros ttc cc /mois. Prix de cession 200K euros net vendeur. Fermeture dimanche et lundi midi. Disponibilité : Immédiate Bus Maine - Vaugirard (28, 82, 89, 92), Duroc (86), Vaneau - Saint-Romain (70) Métro Duroc (1</t>
        </is>
      </c>
    </row>
  </sheetData>
  <hyperlinks>
    <hyperlink xmlns:r="http://schemas.openxmlformats.org/officeDocument/2006/relationships" ref="B2"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2026-10-17T23:21:32Z</dcterms:created>
  <dcterms:modified xsi:type="dcterms:W3CDTF">2026-10-17T23:21:32Z</dcterms:modified>
</cp:coreProperties>
</file>