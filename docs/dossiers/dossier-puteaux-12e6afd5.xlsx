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'Synthèse'!$A$1:$C$59</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grand-local-commercial-en-rez-de-chaussee--40357236"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grand-local-commercial-en-rez-de-chaussee--40357236" TargetMode="External" Id="rId1" /></Relationships>
</file>

<file path=xl/worksheets/sheet1.xml><?xml version="1.0" encoding="utf-8"?>
<worksheet xmlns="http://schemas.openxmlformats.org/spreadsheetml/2006/main">
  <sheetPr>
    <outlinePr summaryBelow="1" summaryRight="1"/>
    <pageSetUpPr fitToPage="1"/>
  </sheetPr>
  <dimension ref="A1:F58"/>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GRAND LOCAL COMMERCIAL EN REZ-DE-CHAUSSEE</t>
        </is>
      </c>
    </row>
    <row r="4">
      <c r="A4" s="4" t="inlineStr">
        <is>
          <t>Puteaux (92800) — annonce bureauxlocaux du 2026-07-07</t>
        </is>
      </c>
      <c r="C4" s="5" t="inlineStr">
        <is>
          <t>Voir l'annonce en ligne ↗</t>
        </is>
      </c>
    </row>
    <row r="5">
      <c r="A5" s="6" t="inlineStr">
        <is>
          <t>Dossier généré le 29/10/2026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+167 €/mois.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145</v>
      </c>
    </row>
    <row r="18">
      <c r="A18" s="14" t="inlineStr">
        <is>
          <t>Prix affiché</t>
        </is>
      </c>
      <c r="B18" s="17" t="n">
        <v>360000</v>
      </c>
    </row>
    <row r="19">
      <c r="A19" s="14" t="inlineStr">
        <is>
          <t>Prix au m²</t>
        </is>
      </c>
      <c r="B19" s="17">
        <f>IFERROR(B18/B17,"")</f>
        <v/>
      </c>
    </row>
    <row r="20">
      <c r="A20" s="14" t="inlineStr">
        <is>
          <t>Loyer mensuel HT</t>
        </is>
      </c>
      <c r="B20" s="18" t="n">
        <v>2658.33</v>
      </c>
      <c r="C20" s="19" t="inlineStr">
        <is>
          <t>ESTIMATION au loyer de marché local — aucun bail ne le garantit</t>
        </is>
      </c>
    </row>
    <row r="21">
      <c r="A21" s="14" t="inlineStr">
        <is>
          <t>Marché local (prix/m²)</t>
        </is>
      </c>
      <c r="B21" s="15" t="inlineStr">
        <is>
          <t>2 660 à 5 740 €/m²</t>
        </is>
      </c>
      <c r="C21" s="19" t="inlineStr">
        <is>
          <t>ce bien est 45 % SOUS la médiane locale</t>
        </is>
      </c>
    </row>
    <row r="22">
      <c r="A22" s="14" t="inlineStr">
        <is>
          <t>Source de la fourchette</t>
        </is>
      </c>
      <c r="B22" s="15" t="inlineStr">
        <is>
          <t>72 ventes réelles 2023-2025 (DVF)</t>
        </is>
      </c>
      <c r="C22" s="19" t="inlineStr">
        <is>
          <t>DVF = prix réellement payés, enregistrés chez le notaire (data.gouv.fr)</t>
        </is>
      </c>
    </row>
    <row r="23">
      <c r="A23" s="14" t="inlineStr">
        <is>
          <t>Évolution du prix demandé</t>
        </is>
      </c>
      <c r="B23" s="15" t="inlineStr">
        <is>
          <t>380 000 € (07/07) → 360 000 € (04/09)  —  −5.3 % depuis la première vue</t>
        </is>
      </c>
      <c r="C23" s="19" t="inlineStr">
        <is>
          <t>un prix qui baisse est un levier de négociation documenté</t>
        </is>
      </c>
    </row>
    <row r="25" ht="18" customHeight="1">
      <c r="A25" s="7" t="inlineStr">
        <is>
          <t>HYPOTHÈSES — cellules jaunes à ajuster avec votre conseiller</t>
        </is>
      </c>
    </row>
    <row r="26">
      <c r="A26" s="14" t="inlineStr">
        <is>
          <t>Prix négocié retenu</t>
        </is>
      </c>
      <c r="B26" s="18" t="n">
        <v>360000</v>
      </c>
      <c r="C26" s="19"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9" t="inlineStr">
        <is>
          <t>à remplacer par le montant réel dès que connu</t>
        </is>
      </c>
    </row>
    <row r="32">
      <c r="A32" s="14" t="inlineStr">
        <is>
          <t>Provision entretien &amp; vacance (% du loyer)</t>
        </is>
      </c>
      <c r="B32" s="20" t="n">
        <v>0.05</v>
      </c>
    </row>
    <row r="33">
      <c r="A33" s="14" t="inlineStr">
        <is>
          <t>Assurance propriétaire (PNO, €/an)</t>
        </is>
      </c>
      <c r="B33" s="18" t="n">
        <v>300</v>
      </c>
    </row>
    <row r="35" ht="18" customHeight="1">
      <c r="A35" s="7" t="inlineStr">
        <is>
          <t>PLAN DE FINANCEMENT</t>
        </is>
      </c>
    </row>
    <row r="36">
      <c r="A36" s="14" t="inlineStr">
        <is>
          <t>Coût d'acquisition total</t>
        </is>
      </c>
      <c r="B36" s="17">
        <f>B26*(1+B27)</f>
        <v/>
      </c>
      <c r="C36" s="19"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9" t="inlineStr">
        <is>
          <t>positif : le bien se paie tout seul, loyer ≥ crédit + charges</t>
        </is>
      </c>
    </row>
    <row r="52" ht="18" customHeight="1">
      <c r="A52" s="7" t="inlineStr">
        <is>
          <t>LES RATIOS QUE REGARDE LE BANQUIER</t>
        </is>
      </c>
    </row>
    <row r="53">
      <c r="A53" s="14" t="inlineStr">
        <is>
          <t>Rendement brut</t>
        </is>
      </c>
      <c r="B53" s="25">
        <f>IFERROR(B43/B26,"")</f>
        <v/>
      </c>
      <c r="C53" s="19" t="inlineStr">
        <is>
          <t>loyer annuel ÷ prix — la base de comparaison des biens</t>
        </is>
      </c>
    </row>
    <row r="54">
      <c r="A54" s="14" t="inlineStr">
        <is>
          <t>Rendement net avant crédit</t>
        </is>
      </c>
      <c r="B54" s="25">
        <f>IFERROR(B47/B36,"")</f>
        <v/>
      </c>
      <c r="C54" s="19" t="inlineStr">
        <is>
          <t>après taxe foncière, entretien et assurance</t>
        </is>
      </c>
    </row>
    <row r="55">
      <c r="A55" s="14" t="inlineStr">
        <is>
          <t>DSCR — couverture de la dette</t>
        </is>
      </c>
      <c r="B55" s="26">
        <f>IFERROR(B47/B40,"")</f>
        <v/>
      </c>
      <c r="C55" s="19" t="inlineStr">
        <is>
          <t>revenu net ÷ crédit : ≥ 1,20 rassure une banque</t>
        </is>
      </c>
    </row>
    <row r="56">
      <c r="A56" s="14" t="inlineStr">
        <is>
          <t>LTV — part financée par la banque</t>
        </is>
      </c>
      <c r="B56" s="25">
        <f>IFERROR(B38/B26,"")</f>
        <v/>
      </c>
      <c r="C56" s="19" t="inlineStr">
        <is>
          <t>≤ 80 % est la zone de confort bancaire</t>
        </is>
      </c>
    </row>
    <row r="57">
      <c r="A57" s="14" t="inlineStr">
        <is>
          <t>Effort d'épargne mensuel si négatif</t>
        </is>
      </c>
      <c r="B57" s="23">
        <f>MAX(0,-B49/12)</f>
        <v/>
      </c>
    </row>
    <row r="58">
      <c r="A58" s="14" t="inlineStr">
        <is>
          <t>Score de l'outil de veille</t>
        </is>
      </c>
      <c r="B58" s="15" t="inlineStr">
        <is>
          <t>68/100</t>
        </is>
      </c>
      <c r="C58" s="19" t="inlineStr">
        <is>
          <t>rendement, emplacement, prix vs marché, financement, fiscalité</t>
        </is>
      </c>
    </row>
  </sheetData>
  <mergeCells count="11">
    <mergeCell ref="A4:B4"/>
    <mergeCell ref="A25:C25"/>
    <mergeCell ref="A42:C42"/>
    <mergeCell ref="A1:C1"/>
    <mergeCell ref="A3:C3"/>
    <mergeCell ref="A13:C14"/>
    <mergeCell ref="A35:C35"/>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GRAND LOCAL COMMERCIAL EN REZ-DE-CHAUSSEE</t>
        </is>
      </c>
    </row>
    <row r="2">
      <c r="A2" s="28" t="inlineStr">
        <is>
          <t>Lien</t>
        </is>
      </c>
      <c r="B2" s="30" t="inlineStr">
        <is>
          <t>https://www.bureauxlocaux.com/annonce/grand-local-commercial-en-rez-de-chaussee--40357236</t>
        </is>
      </c>
    </row>
    <row r="3">
      <c r="A3" s="28" t="inlineStr">
        <is>
          <t>Ville</t>
        </is>
      </c>
      <c r="B3" s="29" t="inlineStr">
        <is>
          <t>Puteaux (92800)</t>
        </is>
      </c>
    </row>
    <row r="4">
      <c r="A4" s="28" t="inlineStr">
        <is>
          <t>Source</t>
        </is>
      </c>
      <c r="B4" s="29" t="inlineStr">
        <is>
          <t>bureauxlocaux</t>
        </is>
      </c>
    </row>
    <row r="5">
      <c r="A5" s="28" t="inlineStr">
        <is>
          <t>Première détection</t>
        </is>
      </c>
      <c r="B5" s="29" t="inlineStr">
        <is>
          <t>2026-07-07</t>
        </is>
      </c>
    </row>
    <row r="6">
      <c r="A6" s="28" t="inlineStr">
        <is>
          <t>Type</t>
        </is>
      </c>
      <c r="B6" s="29" t="inlineStr">
        <is>
          <t>Murs libres</t>
        </is>
      </c>
    </row>
    <row r="7">
      <c r="A7" s="28" t="inlineStr">
        <is>
          <t>Caractéristiques</t>
        </is>
      </c>
      <c r="B7" s="29" t="inlineStr">
        <is>
          <t>—</t>
        </is>
      </c>
    </row>
    <row r="8">
      <c r="A8" s="28" t="inlineStr">
        <is>
          <t>Évolution du prix</t>
        </is>
      </c>
      <c r="B8" s="29" t="inlineStr">
        <is>
          <t>380 000 € (07/07) → 360 000 € (04/09)  —  −5.3 % depuis la première vue</t>
        </is>
      </c>
    </row>
    <row r="9">
      <c r="A9" s="28" t="inlineStr">
        <is>
          <t>Fourchette de marché</t>
        </is>
      </c>
      <c r="B9" s="29" t="inlineStr">
        <is>
          <t>72 ventes réelles 2023-2025 (DVF)</t>
        </is>
      </c>
    </row>
    <row r="10">
      <c r="A10" s="28" t="inlineStr">
        <is>
          <t>Lecture du prix</t>
        </is>
      </c>
      <c r="B10" s="29" t="inlineStr">
        <is>
          <t>Décote lisible : les grandes surfaces se négocient mécaniquement moins cher au m².</t>
        </is>
      </c>
    </row>
    <row r="11">
      <c r="A11" s="28" t="inlineStr">
        <is>
          <t>Alertes</t>
        </is>
      </c>
      <c r="B11" s="29" t="inlineStr">
        <is>
          <t>loyer_estime · surface_a_ventiler · occupation_a_confirmer</t>
        </is>
      </c>
    </row>
    <row r="12" ht="110" customHeight="1">
      <c r="A12" s="28" t="inlineStr">
        <is>
          <t>Description</t>
        </is>
      </c>
      <c r="B12" s="29" t="inlineStr">
        <is>
          <t>RUE AUGUSTE BLANCHE - LOCAL POLYVALENT IDÉAL STUDIO / STOCKAGE Situé rue Auguste Blanche, ce local commercial de 145,50 m² offre de nombreuses possibilités d'aménagement. Il convient parfaitement pour un studio d'enregistrement, un studio photo, ou encore un espace de stockage. Le bien se compose d'un vaste open space de 108 m², d'un bureau indépendant, d'une réserve technique, d'un vestiaire, de sanitaires. Une cave en sous-sol complète ce bien. Informations financières : Prix net vendeur : 360 000 euros. Honoraires d'agence (à la charge de l'acquéreur) : 14 400 euros TTC (4,00 %). Prix de vente HAI : 374 400 euros Charges annuelles : 3 200 euros. Copropriété : 10 lots. Un bien rare offrant de beaux volumes et une grande modularité, idéal pour les professionnels à la recherche d'un espace fonctionnel. Contact : REZ-DE-CHAUSSEE.COM au 06 79 80 52 89. Responsabilité éditoriale: Michel VALENTINO (EI), agent commercial de REZ-DE-CHAUSSEE.COM immatriculé au RSAC de PARIS sous le numéro 851 452 516. Copropriété de 10 lots - dont 6 lots habitation. Les informations sur les risques auxquels ce bien est exposé sont disponibles sur le site Géorisques : www. georisques. gouv. fr</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2026-10-29T11:59:54Z</dcterms:created>
  <dcterms:modified xsi:type="dcterms:W3CDTF">2026-10-29T11:59:54Z</dcterms:modified>
</cp:coreProperties>
</file>