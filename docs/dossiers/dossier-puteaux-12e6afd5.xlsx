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GRAND LOCAL COMMERCIAL EN REZ-DE-CHAUSSEE</t>
        </is>
      </c>
    </row>
    <row r="3">
      <c r="A3" s="3" t="inlineStr">
        <is>
          <t>Puteaux (92800) — annonce bureauxlocaux du 2026-07-07</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145</v>
      </c>
      <c r="E8" s="5" t="inlineStr">
        <is>
          <t>Cash-flow</t>
        </is>
      </c>
      <c r="F8" s="7">
        <f>B39</f>
        <v/>
      </c>
    </row>
    <row r="9">
      <c r="A9" s="8" t="inlineStr">
        <is>
          <t>Prix affiché</t>
        </is>
      </c>
      <c r="B9" s="11" t="n">
        <v>380000</v>
      </c>
    </row>
    <row r="10">
      <c r="A10" s="8" t="inlineStr">
        <is>
          <t>Prix au m²</t>
        </is>
      </c>
      <c r="B10" s="11">
        <f>IFERROR(B9/B8,"")</f>
        <v/>
      </c>
    </row>
    <row r="11">
      <c r="A11" s="8" t="inlineStr">
        <is>
          <t>Loyer mensuel HT</t>
        </is>
      </c>
      <c r="B11" s="12" t="n">
        <v>2658.33</v>
      </c>
      <c r="C11" s="13" t="inlineStr">
        <is>
          <t>ESTIMATION au loyer de marché local — aucun bail ne le garantit</t>
        </is>
      </c>
    </row>
    <row r="12">
      <c r="A12" s="8" t="inlineStr">
        <is>
          <t>Marché local (prix/m²)</t>
        </is>
      </c>
      <c r="B12" s="9" t="inlineStr">
        <is>
          <t>2 660 à 5 740 €/m²</t>
        </is>
      </c>
      <c r="C12" s="13" t="inlineStr">
        <is>
          <t>ce bien est 42 % SOUS la médiane locale</t>
        </is>
      </c>
    </row>
    <row r="14">
      <c r="A14" s="6" t="inlineStr">
        <is>
          <t>HYPOTHÈSES — cellules jaunes à ajuster avec votre conseiller</t>
        </is>
      </c>
    </row>
    <row r="15">
      <c r="A15" s="8" t="inlineStr">
        <is>
          <t>Prix négocié retenu</t>
        </is>
      </c>
      <c r="B15" s="12" t="n">
        <v>380000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66/100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+188 €/mois.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GRAND LOCAL COMMERCIAL EN REZ-DE-CHAUSSEE</t>
        </is>
      </c>
    </row>
    <row r="2">
      <c r="A2" s="23" t="inlineStr">
        <is>
          <t>Lien</t>
        </is>
      </c>
      <c r="B2" s="25" t="inlineStr">
        <is>
          <t>https://www.bureauxlocaux.com/annonce/grand-local-commercial-en-rez-de-chaussee--40357236</t>
        </is>
      </c>
    </row>
    <row r="3">
      <c r="A3" s="23" t="inlineStr">
        <is>
          <t>Ville</t>
        </is>
      </c>
      <c r="B3" s="24" t="inlineStr">
        <is>
          <t>Puteaux (92800)</t>
        </is>
      </c>
    </row>
    <row r="4">
      <c r="A4" s="23" t="inlineStr">
        <is>
          <t>Source</t>
        </is>
      </c>
      <c r="B4" s="24" t="inlineStr">
        <is>
          <t>bureauxlocaux</t>
        </is>
      </c>
    </row>
    <row r="5">
      <c r="A5" s="23" t="inlineStr">
        <is>
          <t>Première détection</t>
        </is>
      </c>
      <c r="B5" s="24" t="inlineStr">
        <is>
          <t>2026-07-07</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lisible : les grandes surfaces se négocient mécaniquement moins cher au m².</t>
        </is>
      </c>
    </row>
    <row r="9">
      <c r="A9" s="23" t="inlineStr">
        <is>
          <t>Alertes</t>
        </is>
      </c>
      <c r="B9" s="24" t="inlineStr">
        <is>
          <t>loyer_estime</t>
        </is>
      </c>
    </row>
    <row r="10" ht="110" customHeight="1">
      <c r="A10" s="23" t="inlineStr">
        <is>
          <t>Description</t>
        </is>
      </c>
      <c r="B10" s="24"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2026-07-13T08:39:44Z</dcterms:created>
  <dcterms:modified xsi:type="dcterms:W3CDTF">2026-07-13T08:39:44Z</dcterms:modified>
</cp:coreProperties>
</file>