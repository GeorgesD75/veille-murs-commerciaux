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'Synthèse'!$A$1:$C$58</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3">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1">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8" fillId="0" borderId="1" pivotButton="0" quotePrefix="0" xfId="0"/>
    <xf numFmtId="165" fontId="9" fillId="0" borderId="1" pivotButton="0" quotePrefix="0" xfId="0"/>
    <xf numFmtId="168" fontId="9" fillId="0" borderId="1" pivotButton="0" quotePrefix="0" xfId="0"/>
    <xf numFmtId="2" fontId="9" fillId="0" borderId="1" pivotButton="0" quotePrefix="0" xfId="0"/>
    <xf numFmtId="0" fontId="10"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165" fontId="7" fillId="4" borderId="1" pivotButton="0" quotePrefix="0" xfId="0"/>
    <xf numFmtId="0" fontId="5" fillId="0" borderId="0" applyAlignment="1" pivotButton="0" quotePrefix="0" xfId="0">
      <alignment vertical="center" wrapText="1"/>
    </xf>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6" fillId="2" borderId="0" applyAlignment="1" pivotButton="0" quotePrefix="0" xfId="0">
      <alignment vertical="center" wrapText="1"/>
    </xf>
    <xf numFmtId="0" fontId="11" fillId="0" borderId="0" pivotButton="0" quotePrefix="0" xfId="0"/>
    <xf numFmtId="0" fontId="0" fillId="0" borderId="0" applyAlignment="1" pivotButton="0" quotePrefix="0" xfId="0">
      <alignment vertical="top" wrapText="1"/>
    </xf>
    <xf numFmtId="0" fontId="12"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bureauxlocaux.com/annonce/local-commercial-a-vendre--42352965"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bureauxlocaux.com/annonce/local-commercial-a-vendre--42352965" TargetMode="External" Id="rId1" /></Relationships>
</file>

<file path=xl/worksheets/sheet1.xml><?xml version="1.0" encoding="utf-8"?>
<worksheet xmlns="http://schemas.openxmlformats.org/spreadsheetml/2006/main">
  <sheetPr>
    <outlinePr summaryBelow="1" summaryRight="1"/>
    <pageSetUpPr fitToPage="1"/>
  </sheetPr>
  <dimension ref="A1:F57"/>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LOCAL COMMERCIAL A VENDRE</t>
        </is>
      </c>
    </row>
    <row r="4">
      <c r="A4" s="4" t="inlineStr">
        <is>
          <t>Bondy (93140) — annonce bureauxlocaux du 2026-09-26</t>
        </is>
      </c>
      <c r="C4" s="5" t="inlineStr">
        <is>
          <t>Voir l'annonce en ligne ↗</t>
        </is>
      </c>
    </row>
    <row r="5">
      <c r="A5" s="6" t="inlineStr">
        <is>
          <t>Dossier généré le 26/09/2026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B25</f>
        <v/>
      </c>
      <c r="E8" s="6" t="inlineStr">
        <is>
          <t>Crédit + charges / mois</t>
        </is>
      </c>
      <c r="F8" s="8">
        <f>B38-(B43+B44+B45)/12</f>
        <v/>
      </c>
    </row>
    <row r="9">
      <c r="A9" s="9" t="inlineStr">
        <is>
          <t>Apport nécessaire</t>
        </is>
      </c>
      <c r="B9" s="10">
        <f>B36</f>
        <v/>
      </c>
      <c r="E9" s="6" t="inlineStr">
        <is>
          <t>Cash-flow</t>
        </is>
      </c>
      <c r="F9" s="8">
        <f>B49</f>
        <v/>
      </c>
    </row>
    <row r="10">
      <c r="A10" s="9" t="inlineStr">
        <is>
          <t>Mensualité de crédit estimée</t>
        </is>
      </c>
      <c r="B10" s="11">
        <f>B38</f>
        <v/>
      </c>
    </row>
    <row r="11">
      <c r="A11" s="9" t="inlineStr">
        <is>
          <t>Cash-flow mensuel attendu</t>
        </is>
      </c>
      <c r="B11" s="11">
        <f>B49</f>
        <v/>
      </c>
    </row>
    <row r="12">
      <c r="A12" s="9" t="inlineStr">
        <is>
          <t>DSCR (≥ 1,20 rassure)</t>
        </is>
      </c>
      <c r="B12" s="12">
        <f>B54</f>
        <v/>
      </c>
    </row>
    <row r="13">
      <c r="A13" s="13" t="inlineStr">
        <is>
          <t>EN CLAIR — Sur la base d'un loyer ESTIMÉ (pas de bail signé à ce stade) : aux hypothèses de ce dossier (apport 20 %, crédit 4,9 % sur 20 ans, charges provisionnées), le bien s'autofinance : le loyer couvre crédit et charges et laisse environ +307 €/mois.</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188</v>
      </c>
    </row>
    <row r="18">
      <c r="A18" s="14" t="inlineStr">
        <is>
          <t>Prix affiché</t>
        </is>
      </c>
      <c r="B18" s="17" t="n">
        <v>325555</v>
      </c>
    </row>
    <row r="19">
      <c r="A19" s="14" t="inlineStr">
        <is>
          <t>Prix au m²</t>
        </is>
      </c>
      <c r="B19" s="17">
        <f>IFERROR(B18/B17,"")</f>
        <v/>
      </c>
    </row>
    <row r="20">
      <c r="A20" s="14" t="inlineStr">
        <is>
          <t>Loyer mensuel HT</t>
        </is>
      </c>
      <c r="B20" s="18" t="n">
        <v>2506.67</v>
      </c>
      <c r="C20" s="19" t="inlineStr">
        <is>
          <t>ESTIMATION au loyer de marché local — aucun bail ne le garantit</t>
        </is>
      </c>
    </row>
    <row r="21">
      <c r="A21" s="14" t="inlineStr">
        <is>
          <t>Marché local (prix/m²)</t>
        </is>
      </c>
      <c r="B21" s="15" t="inlineStr">
        <is>
          <t>1 171 à 2 628 €/m²</t>
        </is>
      </c>
      <c r="C21" s="19" t="inlineStr">
        <is>
          <t>ce bien est 9 % SOUS la médiane locale</t>
        </is>
      </c>
    </row>
    <row r="22">
      <c r="A22" s="14" t="inlineStr">
        <is>
          <t>Source de la fourchette</t>
        </is>
      </c>
      <c r="B22" s="15" t="inlineStr">
        <is>
          <t>28 ventes réelles 2023-2025 (DVF)</t>
        </is>
      </c>
      <c r="C22" s="19" t="inlineStr">
        <is>
          <t>DVF = prix réellement payés, enregistrés chez le notaire (data.gouv.fr)</t>
        </is>
      </c>
    </row>
    <row r="24" ht="18" customHeight="1">
      <c r="A24" s="7" t="inlineStr">
        <is>
          <t>HYPOTHÈSES — cellules jaunes à ajuster avec votre conseiller</t>
        </is>
      </c>
    </row>
    <row r="25">
      <c r="A25" s="14" t="inlineStr">
        <is>
          <t>Prix négocié retenu</t>
        </is>
      </c>
      <c r="B25" s="18" t="n">
        <v>325555</v>
      </c>
      <c r="C25" s="19" t="inlineStr">
        <is>
          <t>par défaut le prix affiché — un prix demandé se négocie</t>
        </is>
      </c>
    </row>
    <row r="26">
      <c r="A26" s="14" t="inlineStr">
        <is>
          <t>Frais d'acquisition (notaire, garanties)</t>
        </is>
      </c>
      <c r="B26" s="20" t="n">
        <v>0.08</v>
      </c>
    </row>
    <row r="27">
      <c r="A27" s="14" t="inlineStr">
        <is>
          <t>Apport personnel</t>
        </is>
      </c>
      <c r="B27" s="20" t="n">
        <v>0.2</v>
      </c>
    </row>
    <row r="28">
      <c r="A28" s="14" t="inlineStr">
        <is>
          <t>Taux du crédit (hors assurance)</t>
        </is>
      </c>
      <c r="B28" s="20" t="n">
        <v>0.049</v>
      </c>
    </row>
    <row r="29">
      <c r="A29" s="14" t="inlineStr">
        <is>
          <t>Durée du crédit (années)</t>
        </is>
      </c>
      <c r="B29" s="21" t="n">
        <v>20</v>
      </c>
    </row>
    <row r="30">
      <c r="A30" s="14" t="inlineStr">
        <is>
          <t>Taxe foncière (en mois de loyer par an)</t>
        </is>
      </c>
      <c r="B30" s="22" t="n">
        <v>1</v>
      </c>
      <c r="C30" s="19" t="inlineStr">
        <is>
          <t>à remplacer par le montant réel dès que connu</t>
        </is>
      </c>
    </row>
    <row r="31">
      <c r="A31" s="14" t="inlineStr">
        <is>
          <t>Provision entretien &amp; vacance (% du loyer)</t>
        </is>
      </c>
      <c r="B31" s="20" t="n">
        <v>0.05</v>
      </c>
    </row>
    <row r="32">
      <c r="A32" s="14" t="inlineStr">
        <is>
          <t>Assurance propriétaire (PNO, €/an)</t>
        </is>
      </c>
      <c r="B32" s="18" t="n">
        <v>300</v>
      </c>
    </row>
    <row r="34" ht="18" customHeight="1">
      <c r="A34" s="7" t="inlineStr">
        <is>
          <t>PLAN DE FINANCEMENT</t>
        </is>
      </c>
    </row>
    <row r="35">
      <c r="A35" s="14" t="inlineStr">
        <is>
          <t>Coût d'acquisition total</t>
        </is>
      </c>
      <c r="B35" s="17">
        <f>B25*(1+B26)</f>
        <v/>
      </c>
      <c r="C35" s="19" t="inlineStr">
        <is>
          <t>prix négocié + frais d'acquisition</t>
        </is>
      </c>
    </row>
    <row r="36">
      <c r="A36" s="14" t="inlineStr">
        <is>
          <t>Apport personnel</t>
        </is>
      </c>
      <c r="B36" s="17">
        <f>B35*B27</f>
        <v/>
      </c>
    </row>
    <row r="37">
      <c r="A37" s="14" t="inlineStr">
        <is>
          <t>Montant emprunté</t>
        </is>
      </c>
      <c r="B37" s="17">
        <f>B35-B36</f>
        <v/>
      </c>
    </row>
    <row r="38">
      <c r="A38" s="14" t="inlineStr">
        <is>
          <t>Mensualité du crédit</t>
        </is>
      </c>
      <c r="B38" s="23">
        <f>IFERROR(-PMT(B28/12,B29*12,B37),0)</f>
        <v/>
      </c>
    </row>
    <row r="39">
      <c r="A39" s="14" t="inlineStr">
        <is>
          <t>Service de la dette (annuel)</t>
        </is>
      </c>
      <c r="B39" s="17">
        <f>B38*12</f>
        <v/>
      </c>
    </row>
    <row r="41" ht="18" customHeight="1">
      <c r="A41" s="7" t="inlineStr">
        <is>
          <t>EXPLOITATION ANNUELLE</t>
        </is>
      </c>
    </row>
    <row r="42">
      <c r="A42" s="14" t="inlineStr">
        <is>
          <t>Loyers annuels HT</t>
        </is>
      </c>
      <c r="B42" s="17">
        <f>IFERROR(B20*12,0)</f>
        <v/>
      </c>
    </row>
    <row r="43">
      <c r="A43" s="14" t="inlineStr">
        <is>
          <t>− Taxe foncière</t>
        </is>
      </c>
      <c r="B43" s="17">
        <f>-IFERROR(B20*B30,0)</f>
        <v/>
      </c>
    </row>
    <row r="44">
      <c r="A44" s="14" t="inlineStr">
        <is>
          <t>− Entretien &amp; vacance locative</t>
        </is>
      </c>
      <c r="B44" s="17">
        <f>-B42*B31</f>
        <v/>
      </c>
    </row>
    <row r="45">
      <c r="A45" s="14" t="inlineStr">
        <is>
          <t>− Assurance PNO</t>
        </is>
      </c>
      <c r="B45" s="17">
        <f>-B32</f>
        <v/>
      </c>
    </row>
    <row r="46">
      <c r="A46" s="14" t="inlineStr">
        <is>
          <t>Revenu net avant crédit</t>
        </is>
      </c>
      <c r="B46" s="17">
        <f>B42+B43+B44+B45</f>
        <v/>
      </c>
    </row>
    <row r="47">
      <c r="A47" s="14" t="inlineStr">
        <is>
          <t>− Remboursement du crédit</t>
        </is>
      </c>
      <c r="B47" s="17">
        <f>-B39</f>
        <v/>
      </c>
    </row>
    <row r="48">
      <c r="A48" s="14" t="inlineStr">
        <is>
          <t>Cash-flow annuel</t>
        </is>
      </c>
      <c r="B48" s="17">
        <f>B46-B39</f>
        <v/>
      </c>
    </row>
    <row r="49">
      <c r="A49" s="14" t="inlineStr">
        <is>
          <t>Cash-flow mensuel</t>
        </is>
      </c>
      <c r="B49" s="24">
        <f>B48/12</f>
        <v/>
      </c>
      <c r="C49" s="19" t="inlineStr">
        <is>
          <t>positif : le bien se paie tout seul, loyer ≥ crédit + charges</t>
        </is>
      </c>
    </row>
    <row r="51" ht="18" customHeight="1">
      <c r="A51" s="7" t="inlineStr">
        <is>
          <t>LES RATIOS QUE REGARDE LE BANQUIER</t>
        </is>
      </c>
    </row>
    <row r="52">
      <c r="A52" s="14" t="inlineStr">
        <is>
          <t>Rendement brut</t>
        </is>
      </c>
      <c r="B52" s="25">
        <f>IFERROR(B42/B25,"")</f>
        <v/>
      </c>
      <c r="C52" s="19" t="inlineStr">
        <is>
          <t>loyer annuel ÷ prix — la base de comparaison des biens</t>
        </is>
      </c>
    </row>
    <row r="53">
      <c r="A53" s="14" t="inlineStr">
        <is>
          <t>Rendement net avant crédit</t>
        </is>
      </c>
      <c r="B53" s="25">
        <f>IFERROR(B46/B35,"")</f>
        <v/>
      </c>
      <c r="C53" s="19" t="inlineStr">
        <is>
          <t>après taxe foncière, entretien et assurance</t>
        </is>
      </c>
    </row>
    <row r="54">
      <c r="A54" s="14" t="inlineStr">
        <is>
          <t>DSCR — couverture de la dette</t>
        </is>
      </c>
      <c r="B54" s="26">
        <f>IFERROR(B46/B39,"")</f>
        <v/>
      </c>
      <c r="C54" s="19" t="inlineStr">
        <is>
          <t>revenu net ÷ crédit : ≥ 1,20 rassure une banque</t>
        </is>
      </c>
    </row>
    <row r="55">
      <c r="A55" s="14" t="inlineStr">
        <is>
          <t>LTV — part financée par la banque</t>
        </is>
      </c>
      <c r="B55" s="25">
        <f>IFERROR(B37/B25,"")</f>
        <v/>
      </c>
      <c r="C55" s="19" t="inlineStr">
        <is>
          <t>≤ 80 % est la zone de confort bancaire</t>
        </is>
      </c>
    </row>
    <row r="56">
      <c r="A56" s="14" t="inlineStr">
        <is>
          <t>Effort d'épargne mensuel si négatif</t>
        </is>
      </c>
      <c r="B56" s="23">
        <f>MAX(0,-B48/12)</f>
        <v/>
      </c>
    </row>
    <row r="57">
      <c r="A57" s="14" t="inlineStr">
        <is>
          <t>Score de l'outil de veille</t>
        </is>
      </c>
      <c r="B57" s="15" t="inlineStr">
        <is>
          <t>60/100</t>
        </is>
      </c>
      <c r="C57" s="19" t="inlineStr">
        <is>
          <t>rendement, emplacement, prix vs marché, financement, fiscalité</t>
        </is>
      </c>
    </row>
  </sheetData>
  <mergeCells count="11">
    <mergeCell ref="A4:B4"/>
    <mergeCell ref="A41:C41"/>
    <mergeCell ref="A1:C1"/>
    <mergeCell ref="A3:C3"/>
    <mergeCell ref="A13:C14"/>
    <mergeCell ref="A34:C34"/>
    <mergeCell ref="A15:C15"/>
    <mergeCell ref="A7:C7"/>
    <mergeCell ref="A24:C24"/>
    <mergeCell ref="A2:C2"/>
    <mergeCell ref="A51:C51"/>
  </mergeCells>
  <conditionalFormatting sqref="B48">
    <cfRule type="cellIs" priority="1" operator="greaterThanOrEqual" dxfId="0">
      <formula>0</formula>
    </cfRule>
    <cfRule type="cellIs" priority="2" operator="lessThan" dxfId="1">
      <formula>0</formula>
    </cfRule>
  </conditionalFormatting>
  <conditionalFormatting sqref="B49">
    <cfRule type="cellIs" priority="3" operator="greaterThanOrEqual" dxfId="0">
      <formula>0</formula>
    </cfRule>
    <cfRule type="cellIs" priority="4" operator="lessThan" dxfId="1">
      <formula>0</formula>
    </cfRule>
  </conditionalFormatting>
  <conditionalFormatting sqref="B54">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7" t="inlineStr">
        <is>
          <t>Année</t>
        </is>
      </c>
      <c r="B1" s="27" t="inlineStr">
        <is>
          <t>Capital dû en début d'année</t>
        </is>
      </c>
      <c r="C1" s="27" t="inlineStr">
        <is>
          <t>Intérêts de l'année</t>
        </is>
      </c>
      <c r="D1" s="27" t="inlineStr">
        <is>
          <t>Capital remboursé</t>
        </is>
      </c>
      <c r="E1" s="27" t="inlineStr">
        <is>
          <t>Capital restant dû</t>
        </is>
      </c>
      <c r="G1">
        <f>'Synthèse'!B29</f>
        <v/>
      </c>
    </row>
    <row r="2">
      <c r="A2" t="n">
        <v>1</v>
      </c>
      <c r="B2" s="8">
        <f>IF(A2&lt;=$G$1,'Synthèse'!$B$37,"")</f>
        <v/>
      </c>
      <c r="C2" s="8">
        <f>IF(A2&lt;=$G$1,B2*$G$2,"")</f>
        <v/>
      </c>
      <c r="D2" s="8">
        <f>IF(A2&lt;=$G$1,MIN(B2,$G$3-C2),"")</f>
        <v/>
      </c>
      <c r="E2" s="8">
        <f>IF(A2&lt;=$G$1,MAX(0,B2-D2),"")</f>
        <v/>
      </c>
      <c r="F2" s="6" t="inlineStr">
        <is>
          <t>Tableau indicatif (pas annuel) — l'offre de prêt de la banque fait foi.</t>
        </is>
      </c>
      <c r="G2">
        <f>'Synthèse'!B28</f>
        <v/>
      </c>
    </row>
    <row r="3">
      <c r="A3" t="n">
        <v>2</v>
      </c>
      <c r="B3" s="8">
        <f>IF(A3&lt;=$G$1,E2,"")</f>
        <v/>
      </c>
      <c r="C3" s="8">
        <f>IF(A3&lt;=$G$1,B3*$G$2,"")</f>
        <v/>
      </c>
      <c r="D3" s="8">
        <f>IF(A3&lt;=$G$1,MIN(B3,$G$3-C3),"")</f>
        <v/>
      </c>
      <c r="E3" s="8">
        <f>IF(A3&lt;=$G$1,MAX(0,B3-D3),"")</f>
        <v/>
      </c>
      <c r="G3">
        <f>'Synthèse'!B39</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8" t="inlineStr">
        <is>
          <t>Titre</t>
        </is>
      </c>
      <c r="B1" s="29" t="inlineStr">
        <is>
          <t>LOCAL COMMERCIAL A VENDRE</t>
        </is>
      </c>
    </row>
    <row r="2">
      <c r="A2" s="28" t="inlineStr">
        <is>
          <t>Lien</t>
        </is>
      </c>
      <c r="B2" s="30" t="inlineStr">
        <is>
          <t>https://www.bureauxlocaux.com/annonce/local-commercial-a-vendre--42352965</t>
        </is>
      </c>
    </row>
    <row r="3">
      <c r="A3" s="28" t="inlineStr">
        <is>
          <t>Ville</t>
        </is>
      </c>
      <c r="B3" s="29" t="inlineStr">
        <is>
          <t>Bondy (93140)</t>
        </is>
      </c>
    </row>
    <row r="4">
      <c r="A4" s="28" t="inlineStr">
        <is>
          <t>Source</t>
        </is>
      </c>
      <c r="B4" s="29" t="inlineStr">
        <is>
          <t>bureauxlocaux</t>
        </is>
      </c>
    </row>
    <row r="5">
      <c r="A5" s="28" t="inlineStr">
        <is>
          <t>Première détection</t>
        </is>
      </c>
      <c r="B5" s="29" t="inlineStr">
        <is>
          <t>2026-09-26</t>
        </is>
      </c>
    </row>
    <row r="6">
      <c r="A6" s="28" t="inlineStr">
        <is>
          <t>Type</t>
        </is>
      </c>
      <c r="B6" s="29" t="inlineStr">
        <is>
          <t>Murs libres</t>
        </is>
      </c>
    </row>
    <row r="7">
      <c r="A7" s="28" t="inlineStr">
        <is>
          <t>Caractéristiques</t>
        </is>
      </c>
      <c r="B7" s="29" t="inlineStr">
        <is>
          <t>—</t>
        </is>
      </c>
    </row>
    <row r="8">
      <c r="A8" s="28" t="inlineStr">
        <is>
          <t>Évolution du prix</t>
        </is>
      </c>
      <c r="B8" s="29" t="inlineStr">
        <is>
          <t>stable depuis la première vue</t>
        </is>
      </c>
    </row>
    <row r="9">
      <c r="A9" s="28" t="inlineStr">
        <is>
          <t>Fourchette de marché</t>
        </is>
      </c>
      <c r="B9" s="29" t="inlineStr">
        <is>
          <t>28 ventes réelles 2023-2025 (DVF)</t>
        </is>
      </c>
    </row>
    <row r="10">
      <c r="A10" s="28" t="inlineStr">
        <is>
          <t>Lecture du prix</t>
        </is>
      </c>
      <c r="B10" s="29" t="inlineStr">
        <is>
          <t>Prix cohérent avec le marché local.</t>
        </is>
      </c>
    </row>
    <row r="11">
      <c r="A11" s="28" t="inlineStr">
        <is>
          <t>Alertes</t>
        </is>
      </c>
      <c r="B11" s="29" t="inlineStr">
        <is>
          <t>loyer_estime</t>
        </is>
      </c>
    </row>
    <row r="12" ht="110" customHeight="1">
      <c r="A12" s="28" t="inlineStr">
        <is>
          <t>Description</t>
        </is>
      </c>
      <c r="B12" s="29" t="inlineStr">
        <is>
          <t>Vente de murs libres de local commercial situé sur la ville de Bondy d'une surface de 188m² de plain pied. Le local est livré brut de béton avc fluides en attente et vitrines à poser par le preneur. Le local se situe dans un quartier en pleine rénovation , avec de nombreuses résidences et commerces en pied d'immeuble. Le local se situe à deux pas de la future nouvelle gare Pont de Bondy de la ligne 15 Est. L'accès au local est aisé par la future gare Pont de Bondy, les rocades de la A 3 et A86, nombreux bus. Livraison second semestre 2028 Réf AAL 841200</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2026-09-26T23:50:21Z</dcterms:created>
  <dcterms:modified xsi:type="dcterms:W3CDTF">2026-09-26T23:50:21Z</dcterms:modified>
</cp:coreProperties>
</file>