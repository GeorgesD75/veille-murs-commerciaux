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'Synthèse'!$A$1:$C$58</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3">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8" fillId="0" borderId="1" pivotButton="0" quotePrefix="0" xfId="0"/>
    <xf numFmtId="165" fontId="9" fillId="0" borderId="1" pivotButton="0" quotePrefix="0" xfId="0"/>
    <xf numFmtId="168" fontId="9" fillId="0" borderId="1" pivotButton="0" quotePrefix="0" xfId="0"/>
    <xf numFmtId="2" fontId="9" fillId="0" borderId="1" pivotButton="0" quotePrefix="0" xfId="0"/>
    <xf numFmtId="0" fontId="10"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0" fontId="5" fillId="0" borderId="0" applyAlignment="1" pivotButton="0" quotePrefix="0" xfId="0">
      <alignment vertical="center" wrapText="1"/>
    </xf>
    <xf numFmtId="165" fontId="7" fillId="4" borderId="1" pivotButton="0" quotePrefix="0" xfId="0"/>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6" fillId="2" borderId="0" applyAlignment="1" pivotButton="0" quotePrefix="0" xfId="0">
      <alignment vertical="center" wrapText="1"/>
    </xf>
    <xf numFmtId="0" fontId="11" fillId="0" borderId="0" pivotButton="0" quotePrefix="0" xfId="0"/>
    <xf numFmtId="0" fontId="0" fillId="0"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essionpme.com/annonce,immo-entreprise-achat-local-commercial-boutique-sevres-92310,2762065,A,offre.html"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cessionpme.com/annonce,immo-entreprise-achat-local-commercial-boutique-sevres-92310,2762065,A,offre.html" TargetMode="External" Id="rId1" /></Relationships>
</file>

<file path=xl/worksheets/sheet1.xml><?xml version="1.0" encoding="utf-8"?>
<worksheet xmlns="http://schemas.openxmlformats.org/spreadsheetml/2006/main">
  <sheetPr>
    <outlinePr summaryBelow="1" summaryRight="1"/>
    <pageSetUpPr fitToPage="1"/>
  </sheetPr>
  <dimension ref="A1:F57"/>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AV local d'exception 108m² style Louis XIV Sèvres</t>
        </is>
      </c>
    </row>
    <row r="4">
      <c r="A4" s="4" t="inlineStr">
        <is>
          <t>Sevres (92310) — annonce cessionpme du 2026-08-19</t>
        </is>
      </c>
      <c r="C4" s="5" t="inlineStr">
        <is>
          <t>Voir l'annonce en ligne ↗</t>
        </is>
      </c>
    </row>
    <row r="5">
      <c r="A5" s="6" t="inlineStr">
        <is>
          <t>Dossier généré le 28/10/2026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B25</f>
        <v/>
      </c>
      <c r="E8" s="6" t="inlineStr">
        <is>
          <t>Crédit + charges / mois</t>
        </is>
      </c>
      <c r="F8" s="8">
        <f>B38-(B43+B44+B45)/12</f>
        <v/>
      </c>
    </row>
    <row r="9">
      <c r="A9" s="9" t="inlineStr">
        <is>
          <t>Apport nécessaire</t>
        </is>
      </c>
      <c r="B9" s="10">
        <f>B36</f>
        <v/>
      </c>
      <c r="E9" s="6" t="inlineStr">
        <is>
          <t>Cash-flow</t>
        </is>
      </c>
      <c r="F9" s="8">
        <f>B49</f>
        <v/>
      </c>
    </row>
    <row r="10">
      <c r="A10" s="9" t="inlineStr">
        <is>
          <t>Mensualité de crédit estimée</t>
        </is>
      </c>
      <c r="B10" s="11">
        <f>B38</f>
        <v/>
      </c>
    </row>
    <row r="11">
      <c r="A11" s="9" t="inlineStr">
        <is>
          <t>Cash-flow mensuel attendu</t>
        </is>
      </c>
      <c r="B11" s="11">
        <f>B49</f>
        <v/>
      </c>
    </row>
    <row r="12">
      <c r="A12" s="9" t="inlineStr">
        <is>
          <t>DSCR (≥ 1,20 rassure)</t>
        </is>
      </c>
      <c r="B12" s="12">
        <f>B54</f>
        <v/>
      </c>
    </row>
    <row r="13">
      <c r="A13" s="13" t="inlineStr">
        <is>
          <t>EN CLAIR — Sur la base d'un loyer ESTIMÉ (pas de bail signé à ce stade) : aux hypothèses de ce dossier (apport 20 %, crédit 5,34 % sur 20 ans, charges provisionnées), le bien s'autofinance : le loyer couvre crédit et charges et laisse environ +343 €/mois.</t>
        </is>
      </c>
    </row>
    <row r="14"/>
    <row r="15" ht="18" customHeight="1">
      <c r="A15" s="7" t="inlineStr">
        <is>
          <t>LE BIEN</t>
        </is>
      </c>
    </row>
    <row r="16">
      <c r="A16" s="14" t="inlineStr">
        <is>
          <t>État locatif</t>
        </is>
      </c>
      <c r="B16" s="15" t="inlineStr">
        <is>
          <t>Murs libres — local à louer après l'achat</t>
        </is>
      </c>
    </row>
    <row r="17">
      <c r="A17" s="14" t="inlineStr">
        <is>
          <t>Surface</t>
        </is>
      </c>
      <c r="B17" s="16" t="n">
        <v>108</v>
      </c>
    </row>
    <row r="18">
      <c r="A18" s="14" t="inlineStr">
        <is>
          <t>Prix affiché</t>
        </is>
      </c>
      <c r="B18" s="17" t="n">
        <v>280000</v>
      </c>
    </row>
    <row r="19">
      <c r="A19" s="14" t="inlineStr">
        <is>
          <t>Prix au m²</t>
        </is>
      </c>
      <c r="B19" s="17">
        <f>IFERROR(B18/B17,"")</f>
        <v/>
      </c>
    </row>
    <row r="20">
      <c r="A20" s="14" t="inlineStr">
        <is>
          <t>Loyer mensuel HT</t>
        </is>
      </c>
      <c r="B20" s="17" t="n">
        <v>2320</v>
      </c>
      <c r="C20" s="18" t="inlineStr">
        <is>
          <t>loyer du bail en place (à faire confirmer par le bail)</t>
        </is>
      </c>
    </row>
    <row r="21">
      <c r="A21" s="14" t="inlineStr">
        <is>
          <t>Marché local (prix/m²)</t>
        </is>
      </c>
      <c r="B21" s="15" t="inlineStr">
        <is>
          <t>2 659 à 4 179 €/m²</t>
        </is>
      </c>
      <c r="C21" s="18" t="inlineStr">
        <is>
          <t>ce bien est 10 % SOUS la médiane locale</t>
        </is>
      </c>
    </row>
    <row r="22">
      <c r="A22" s="14" t="inlineStr">
        <is>
          <t>Source de la fourchette</t>
        </is>
      </c>
      <c r="B22" s="15" t="inlineStr">
        <is>
          <t>17 ventes réelles 2023-2025 (DVF)</t>
        </is>
      </c>
      <c r="C22" s="18" t="inlineStr">
        <is>
          <t>DVF = prix réellement payés, enregistrés chez le notaire (data.gouv.fr)</t>
        </is>
      </c>
    </row>
    <row r="24" ht="18" customHeight="1">
      <c r="A24" s="7" t="inlineStr">
        <is>
          <t>HYPOTHÈSES — cellules jaunes à ajuster avec votre conseiller</t>
        </is>
      </c>
    </row>
    <row r="25">
      <c r="A25" s="14" t="inlineStr">
        <is>
          <t>Prix négocié retenu</t>
        </is>
      </c>
      <c r="B25" s="19" t="n">
        <v>280000</v>
      </c>
      <c r="C25" s="18" t="inlineStr">
        <is>
          <t>par défaut le prix affiché — un prix demandé se négocie</t>
        </is>
      </c>
    </row>
    <row r="26">
      <c r="A26" s="14" t="inlineStr">
        <is>
          <t>Frais d'acquisition (notaire, garanties)</t>
        </is>
      </c>
      <c r="B26" s="20" t="n">
        <v>0.08</v>
      </c>
    </row>
    <row r="27">
      <c r="A27" s="14" t="inlineStr">
        <is>
          <t>Apport personnel</t>
        </is>
      </c>
      <c r="B27" s="20" t="n">
        <v>0.2</v>
      </c>
    </row>
    <row r="28">
      <c r="A28" s="14" t="inlineStr">
        <is>
          <t>Taux du crédit (hors assurance)</t>
        </is>
      </c>
      <c r="B28" s="20" t="n">
        <v>0.0534</v>
      </c>
    </row>
    <row r="29">
      <c r="A29" s="14" t="inlineStr">
        <is>
          <t>Durée du crédit (années)</t>
        </is>
      </c>
      <c r="B29" s="21" t="n">
        <v>20</v>
      </c>
    </row>
    <row r="30">
      <c r="A30" s="14" t="inlineStr">
        <is>
          <t>Taxe foncière (en mois de loyer par an)</t>
        </is>
      </c>
      <c r="B30" s="22" t="n">
        <v>1</v>
      </c>
      <c r="C30" s="18" t="inlineStr">
        <is>
          <t>à remplacer par le montant réel dès que connu</t>
        </is>
      </c>
    </row>
    <row r="31">
      <c r="A31" s="14" t="inlineStr">
        <is>
          <t>Provision entretien &amp; vacance (% du loyer)</t>
        </is>
      </c>
      <c r="B31" s="20" t="n">
        <v>0.05</v>
      </c>
    </row>
    <row r="32">
      <c r="A32" s="14" t="inlineStr">
        <is>
          <t>Assurance propriétaire (PNO, €/an)</t>
        </is>
      </c>
      <c r="B32" s="19" t="n">
        <v>300</v>
      </c>
    </row>
    <row r="34" ht="18" customHeight="1">
      <c r="A34" s="7" t="inlineStr">
        <is>
          <t>PLAN DE FINANCEMENT</t>
        </is>
      </c>
    </row>
    <row r="35">
      <c r="A35" s="14" t="inlineStr">
        <is>
          <t>Coût d'acquisition total</t>
        </is>
      </c>
      <c r="B35" s="17">
        <f>B25*(1+B26)</f>
        <v/>
      </c>
      <c r="C35" s="18" t="inlineStr">
        <is>
          <t>prix négocié + frais d'acquisition</t>
        </is>
      </c>
    </row>
    <row r="36">
      <c r="A36" s="14" t="inlineStr">
        <is>
          <t>Apport personnel</t>
        </is>
      </c>
      <c r="B36" s="17">
        <f>B35*B27</f>
        <v/>
      </c>
    </row>
    <row r="37">
      <c r="A37" s="14" t="inlineStr">
        <is>
          <t>Montant emprunté</t>
        </is>
      </c>
      <c r="B37" s="17">
        <f>B35-B36</f>
        <v/>
      </c>
    </row>
    <row r="38">
      <c r="A38" s="14" t="inlineStr">
        <is>
          <t>Mensualité du crédit</t>
        </is>
      </c>
      <c r="B38" s="23">
        <f>IFERROR(-PMT(B28/12,B29*12,B37),0)</f>
        <v/>
      </c>
    </row>
    <row r="39">
      <c r="A39" s="14" t="inlineStr">
        <is>
          <t>Service de la dette (annuel)</t>
        </is>
      </c>
      <c r="B39" s="17">
        <f>B38*12</f>
        <v/>
      </c>
    </row>
    <row r="41" ht="18" customHeight="1">
      <c r="A41" s="7" t="inlineStr">
        <is>
          <t>EXPLOITATION ANNUELLE</t>
        </is>
      </c>
    </row>
    <row r="42">
      <c r="A42" s="14" t="inlineStr">
        <is>
          <t>Loyers annuels HT</t>
        </is>
      </c>
      <c r="B42" s="17">
        <f>IFERROR(B20*12,0)</f>
        <v/>
      </c>
    </row>
    <row r="43">
      <c r="A43" s="14" t="inlineStr">
        <is>
          <t>− Taxe foncière</t>
        </is>
      </c>
      <c r="B43" s="17">
        <f>-IFERROR(B20*B30,0)</f>
        <v/>
      </c>
    </row>
    <row r="44">
      <c r="A44" s="14" t="inlineStr">
        <is>
          <t>− Entretien &amp; vacance locative</t>
        </is>
      </c>
      <c r="B44" s="17">
        <f>-B42*B31</f>
        <v/>
      </c>
    </row>
    <row r="45">
      <c r="A45" s="14" t="inlineStr">
        <is>
          <t>− Assurance PNO</t>
        </is>
      </c>
      <c r="B45" s="17">
        <f>-B32</f>
        <v/>
      </c>
    </row>
    <row r="46">
      <c r="A46" s="14" t="inlineStr">
        <is>
          <t>Revenu net avant crédit</t>
        </is>
      </c>
      <c r="B46" s="17">
        <f>B42+B43+B44+B45</f>
        <v/>
      </c>
    </row>
    <row r="47">
      <c r="A47" s="14" t="inlineStr">
        <is>
          <t>− Remboursement du crédit</t>
        </is>
      </c>
      <c r="B47" s="17">
        <f>-B39</f>
        <v/>
      </c>
    </row>
    <row r="48">
      <c r="A48" s="14" t="inlineStr">
        <is>
          <t>Cash-flow annuel</t>
        </is>
      </c>
      <c r="B48" s="17">
        <f>B46-B39</f>
        <v/>
      </c>
    </row>
    <row r="49">
      <c r="A49" s="14" t="inlineStr">
        <is>
          <t>Cash-flow mensuel</t>
        </is>
      </c>
      <c r="B49" s="24">
        <f>B48/12</f>
        <v/>
      </c>
      <c r="C49" s="18" t="inlineStr">
        <is>
          <t>positif : le bien se paie tout seul, loyer ≥ crédit + charges</t>
        </is>
      </c>
    </row>
    <row r="51" ht="18" customHeight="1">
      <c r="A51" s="7" t="inlineStr">
        <is>
          <t>LES RATIOS QUE REGARDE LE BANQUIER</t>
        </is>
      </c>
    </row>
    <row r="52">
      <c r="A52" s="14" t="inlineStr">
        <is>
          <t>Rendement brut</t>
        </is>
      </c>
      <c r="B52" s="25">
        <f>IFERROR(B42/B25,"")</f>
        <v/>
      </c>
      <c r="C52" s="18" t="inlineStr">
        <is>
          <t>loyer annuel ÷ prix — la base de comparaison des biens</t>
        </is>
      </c>
    </row>
    <row r="53">
      <c r="A53" s="14" t="inlineStr">
        <is>
          <t>Rendement net avant crédit</t>
        </is>
      </c>
      <c r="B53" s="25">
        <f>IFERROR(B46/B35,"")</f>
        <v/>
      </c>
      <c r="C53" s="18" t="inlineStr">
        <is>
          <t>après taxe foncière, entretien et assurance</t>
        </is>
      </c>
    </row>
    <row r="54">
      <c r="A54" s="14" t="inlineStr">
        <is>
          <t>DSCR — couverture de la dette</t>
        </is>
      </c>
      <c r="B54" s="26">
        <f>IFERROR(B46/B39,"")</f>
        <v/>
      </c>
      <c r="C54" s="18" t="inlineStr">
        <is>
          <t>revenu net ÷ crédit : ≥ 1,20 rassure une banque</t>
        </is>
      </c>
    </row>
    <row r="55">
      <c r="A55" s="14" t="inlineStr">
        <is>
          <t>LTV — part financée par la banque</t>
        </is>
      </c>
      <c r="B55" s="25">
        <f>IFERROR(B37/B25,"")</f>
        <v/>
      </c>
      <c r="C55" s="18" t="inlineStr">
        <is>
          <t>≤ 80 % est la zone de confort bancaire</t>
        </is>
      </c>
    </row>
    <row r="56">
      <c r="A56" s="14" t="inlineStr">
        <is>
          <t>Effort d'épargne mensuel si négatif</t>
        </is>
      </c>
      <c r="B56" s="23">
        <f>MAX(0,-B48/12)</f>
        <v/>
      </c>
    </row>
    <row r="57">
      <c r="A57" s="14" t="inlineStr">
        <is>
          <t>Score de l'outil de veille</t>
        </is>
      </c>
      <c r="B57" s="15" t="inlineStr">
        <is>
          <t>60/100</t>
        </is>
      </c>
      <c r="C57" s="18" t="inlineStr">
        <is>
          <t>rendement, emplacement, prix vs marché, financement, fiscalité</t>
        </is>
      </c>
    </row>
  </sheetData>
  <mergeCells count="11">
    <mergeCell ref="A4:B4"/>
    <mergeCell ref="A41:C41"/>
    <mergeCell ref="A1:C1"/>
    <mergeCell ref="A3:C3"/>
    <mergeCell ref="A13:C14"/>
    <mergeCell ref="A34:C34"/>
    <mergeCell ref="A15:C15"/>
    <mergeCell ref="A7:C7"/>
    <mergeCell ref="A24:C24"/>
    <mergeCell ref="A2:C2"/>
    <mergeCell ref="A51:C51"/>
  </mergeCells>
  <conditionalFormatting sqref="B48">
    <cfRule type="cellIs" priority="1" operator="greaterThanOrEqual" dxfId="0">
      <formula>0</formula>
    </cfRule>
    <cfRule type="cellIs" priority="2" operator="lessThan" dxfId="1">
      <formula>0</formula>
    </cfRule>
  </conditionalFormatting>
  <conditionalFormatting sqref="B49">
    <cfRule type="cellIs" priority="3" operator="greaterThanOrEqual" dxfId="0">
      <formula>0</formula>
    </cfRule>
    <cfRule type="cellIs" priority="4" operator="lessThan" dxfId="1">
      <formula>0</formula>
    </cfRule>
  </conditionalFormatting>
  <conditionalFormatting sqref="B54">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7" t="inlineStr">
        <is>
          <t>Année</t>
        </is>
      </c>
      <c r="B1" s="27" t="inlineStr">
        <is>
          <t>Capital dû en début d'année</t>
        </is>
      </c>
      <c r="C1" s="27" t="inlineStr">
        <is>
          <t>Intérêts de l'année</t>
        </is>
      </c>
      <c r="D1" s="27" t="inlineStr">
        <is>
          <t>Capital remboursé</t>
        </is>
      </c>
      <c r="E1" s="27" t="inlineStr">
        <is>
          <t>Capital restant dû</t>
        </is>
      </c>
      <c r="G1">
        <f>'Synthèse'!B29</f>
        <v/>
      </c>
    </row>
    <row r="2">
      <c r="A2" t="n">
        <v>1</v>
      </c>
      <c r="B2" s="8">
        <f>IF(A2&lt;=$G$1,'Synthèse'!$B$37,"")</f>
        <v/>
      </c>
      <c r="C2" s="8">
        <f>IF(A2&lt;=$G$1,B2*$G$2,"")</f>
        <v/>
      </c>
      <c r="D2" s="8">
        <f>IF(A2&lt;=$G$1,MIN(B2,$G$3-C2),"")</f>
        <v/>
      </c>
      <c r="E2" s="8">
        <f>IF(A2&lt;=$G$1,MAX(0,B2-D2),"")</f>
        <v/>
      </c>
      <c r="F2" s="6" t="inlineStr">
        <is>
          <t>Tableau indicatif (pas annuel) — l'offre de prêt de la banque fait foi.</t>
        </is>
      </c>
      <c r="G2">
        <f>'Synthèse'!B28</f>
        <v/>
      </c>
    </row>
    <row r="3">
      <c r="A3" t="n">
        <v>2</v>
      </c>
      <c r="B3" s="8">
        <f>IF(A3&lt;=$G$1,E2,"")</f>
        <v/>
      </c>
      <c r="C3" s="8">
        <f>IF(A3&lt;=$G$1,B3*$G$2,"")</f>
        <v/>
      </c>
      <c r="D3" s="8">
        <f>IF(A3&lt;=$G$1,MIN(B3,$G$3-C3),"")</f>
        <v/>
      </c>
      <c r="E3" s="8">
        <f>IF(A3&lt;=$G$1,MAX(0,B3-D3),"")</f>
        <v/>
      </c>
      <c r="G3">
        <f>'Synthèse'!B39</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8" t="inlineStr">
        <is>
          <t>Titre</t>
        </is>
      </c>
      <c r="B1" s="29" t="inlineStr">
        <is>
          <t>AV local d'exception 108m² style Louis XIV Sèvres</t>
        </is>
      </c>
    </row>
    <row r="2">
      <c r="A2" s="28" t="inlineStr">
        <is>
          <t>Lien</t>
        </is>
      </c>
      <c r="B2" s="30" t="inlineStr">
        <is>
          <t>https://www.cessionpme.com/annonce,immo-entreprise-achat-local-commercial-boutique-sevres-92310,2762065,A,offre.html</t>
        </is>
      </c>
    </row>
    <row r="3">
      <c r="A3" s="28" t="inlineStr">
        <is>
          <t>Ville</t>
        </is>
      </c>
      <c r="B3" s="29" t="inlineStr">
        <is>
          <t>Sevres (92310)</t>
        </is>
      </c>
    </row>
    <row r="4">
      <c r="A4" s="28" t="inlineStr">
        <is>
          <t>Source</t>
        </is>
      </c>
      <c r="B4" s="29" t="inlineStr">
        <is>
          <t>cessionpme</t>
        </is>
      </c>
    </row>
    <row r="5">
      <c r="A5" s="28" t="inlineStr">
        <is>
          <t>Première détection</t>
        </is>
      </c>
      <c r="B5" s="29" t="inlineStr">
        <is>
          <t>2026-08-19</t>
        </is>
      </c>
    </row>
    <row r="6">
      <c r="A6" s="28" t="inlineStr">
        <is>
          <t>Type</t>
        </is>
      </c>
      <c r="B6" s="29" t="inlineStr">
        <is>
          <t>Murs libres</t>
        </is>
      </c>
    </row>
    <row r="7">
      <c r="A7" s="28" t="inlineStr">
        <is>
          <t>Caractéristiques</t>
        </is>
      </c>
      <c r="B7" s="29" t="inlineStr">
        <is>
          <t>—</t>
        </is>
      </c>
    </row>
    <row r="8">
      <c r="A8" s="28" t="inlineStr">
        <is>
          <t>Évolution du prix</t>
        </is>
      </c>
      <c r="B8" s="29" t="inlineStr">
        <is>
          <t>stable depuis la première vue</t>
        </is>
      </c>
    </row>
    <row r="9">
      <c r="A9" s="28" t="inlineStr">
        <is>
          <t>Fourchette de marché</t>
        </is>
      </c>
      <c r="B9" s="29" t="inlineStr">
        <is>
          <t>17 ventes réelles 2023-2025 (DVF)</t>
        </is>
      </c>
    </row>
    <row r="10">
      <c r="A10" s="28" t="inlineStr">
        <is>
          <t>Lecture du prix</t>
        </is>
      </c>
      <c r="B10" s="29" t="inlineStr">
        <is>
          <t>Prix cohérent avec le marché local.</t>
        </is>
      </c>
    </row>
    <row r="11">
      <c r="A11" s="28" t="inlineStr">
        <is>
          <t>Alertes</t>
        </is>
      </c>
      <c r="B11" s="29" t="inlineStr">
        <is>
          <t>loyer_estime · surface_a_ventiler</t>
        </is>
      </c>
    </row>
    <row r="12" ht="110" customHeight="1">
      <c r="A12" s="28" t="inlineStr">
        <is>
          <t>Description</t>
        </is>
      </c>
      <c r="B12" s="29" t="inlineStr">
        <is>
          <t>vous propose les murs de ce Local d'exception avec cuisine, douche et toilettes - Idéal cave à vin, atelier peinture, cours de musique ou activité premium Au coeur de Sèvres, dans un immeuble de caractère inspiré du style Louis XIV, découvrez ce local rare de 108 m², offrant un charme historique unique et des prestations pratiques pour une activité haut de gamme : cave à vin, galerie, atelier, showroom, espace de dégustation ou activité artisanale de prestige. Caractéristiques principales Surface totale : 108 m² Immeuble style Louis XIV : façade élégante, matériaux nobles, cachet exceptionnel Hauteur sous plafond généreuse Murs épais en pierre : atmosphère fraîche et stable, parfaite pour conservation de vins Accès indépendant Cuisine équipée (pratique pour dégustations, ateliers, événements) Douche + toilettes (rare pour un local de ce type, idéal pour activité nécessitant présence prolongée) Possibilité d'aménagement sur mesure selon l'activité Un lieu idéal pour une cave à vin haut de gamme Température naturellement stable Ambiance authentique et noble Possibilité d'aménager : espace de vieillissement salle de dégustation showroom pour bouteilles premium Cadre prestigieux pour une clientèle exigeante Parfait pour un caviste, sommelier, importateur, ou concept store autour du vin Localisation Sèvres, secteur recherché et résidentiel A proximité du Pont de Sèvres, Boulogne-Billancourt Transports : T2, métro, bus Environnement chic et dynamique Atouts investisseurs Murs libres Produit rare sur le marché Forte demande pour locaux de caractère Potentiel de valorisation élevé Convient aussi pour profession libérale ou activité artistique AMARA F., au . Selon l'article L.561.5 du Code Monétaire et Financier, pour l'organisation de la visite, la présentation d'une pièce d'identité vous sera demandée. Cette présente annonce a été rédigée sous la responsabilité éditoriale de AMARA F., immatriculé au RSAC NANTERRE 902745389 auprès de , au capital de 44 920 euros, - ; SIRET 4 040, RCS Nantes. Carte Professionnelle Transactions sur immeubles et fonds de commerce (T) et Gestion immobilière (G) n°20 8 délivrée par la - Saint Nazaire. . -SMABTP - 89 rue de la Boétie, 75008 Paris pour 2 000 000 euros pour T et 120 000 euros pour G. Assurance responsabilité civile professionnelle par GALIAN-SMABTP n° de police RCP_01_28137J. Mandat réf : 106B-AFAT - Le professionnel garantit et sécurise votre projet immobilier. A (EI) Agent Commercial - Numéro RSAC : NANTERRE 902745389 - . Les informations sur les risques auxquels ce bien est exposé sont disponibles sur le site Géorisques : georisques. gouv. fr</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2026-10-28T00:57:32Z</dcterms:created>
  <dcterms:modified xsi:type="dcterms:W3CDTF">2026-10-28T00:57:32Z</dcterms:modified>
</cp:coreProperties>
</file>