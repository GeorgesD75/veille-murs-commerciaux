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'Synthèse'!$A$1:$C$62</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a-vendre-quartier-mairie-centre--4122683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a-vendre-quartier-mairie-centre--41226836" TargetMode="External" Id="rId1" /></Relationships>
</file>

<file path=xl/worksheets/sheet1.xml><?xml version="1.0" encoding="utf-8"?>
<worksheet xmlns="http://schemas.openxmlformats.org/spreadsheetml/2006/main">
  <sheetPr>
    <outlinePr summaryBelow="1" summaryRight="1"/>
    <pageSetUpPr fitToPage="1"/>
  </sheetPr>
  <dimension ref="A1:F61"/>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 VENDRE, QUARTIER MAIRIE-CENTRE</t>
        </is>
      </c>
    </row>
    <row r="4">
      <c r="A4" s="4" t="inlineStr">
        <is>
          <t>Colombes (92700) — annonce bureauxlocaux du 2026-07-10</t>
        </is>
      </c>
      <c r="C4" s="5" t="inlineStr">
        <is>
          <t>Voir l'annonce en ligne ↗</t>
        </is>
      </c>
    </row>
    <row r="5">
      <c r="A5" s="6" t="inlineStr">
        <is>
          <t>Dossier généré le 29/10/2026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+1 024 €/mois.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210</v>
      </c>
    </row>
    <row r="18">
      <c r="A18" s="14" t="inlineStr">
        <is>
          <t>Prix affiché</t>
        </is>
      </c>
      <c r="B18" s="17" t="n">
        <v>390000</v>
      </c>
    </row>
    <row r="19">
      <c r="A19" s="14" t="inlineStr">
        <is>
          <t>Prix au m²</t>
        </is>
      </c>
      <c r="B19" s="17">
        <f>IFERROR(B18/B17,"")</f>
        <v/>
      </c>
    </row>
    <row r="20">
      <c r="A20" s="14" t="inlineStr">
        <is>
          <t>Loyer mensuel HT</t>
        </is>
      </c>
      <c r="B20" s="18" t="n">
        <v>3850</v>
      </c>
      <c r="C20" s="19" t="inlineStr">
        <is>
          <t>ESTIMATION au loyer de marché local — aucun bail ne le garantit</t>
        </is>
      </c>
    </row>
    <row r="21">
      <c r="A21" s="14" t="inlineStr">
        <is>
          <t>Marché local (prix/m²)</t>
        </is>
      </c>
      <c r="B21" s="15" t="inlineStr">
        <is>
          <t>2 327 à 5 239 €/m²</t>
        </is>
      </c>
      <c r="C21" s="19" t="inlineStr">
        <is>
          <t>ce bien est 47 % SOUS la médiane locale</t>
        </is>
      </c>
    </row>
    <row r="22">
      <c r="A22" s="14" t="inlineStr">
        <is>
          <t>Source de la fourchette</t>
        </is>
      </c>
      <c r="B22" s="15" t="inlineStr">
        <is>
          <t>112 ventes réelles 2023-2025 (DVF)</t>
        </is>
      </c>
      <c r="C22" s="19" t="inlineStr">
        <is>
          <t>DVF = prix réellement payés, enregistrés chez le notaire (data.gouv.fr)</t>
        </is>
      </c>
    </row>
    <row r="23">
      <c r="A23" s="14" t="inlineStr">
        <is>
          <t>Évolution du prix demandé</t>
        </is>
      </c>
      <c r="B23" s="15" t="inlineStr">
        <is>
          <t>390 000 € (10/07) → 43 261 € (06/10) → 390 000 € (06/10)  —  +0.0 % depuis la première vue</t>
        </is>
      </c>
      <c r="C23" s="19"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8" t="n">
        <v>390000</v>
      </c>
      <c r="C26" s="19"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9" t="inlineStr">
        <is>
          <t>à remplacer par le montant réel dès que connu</t>
        </is>
      </c>
    </row>
    <row r="32">
      <c r="A32" s="14" t="inlineStr">
        <is>
          <t>Provision entretien &amp; vacance (% du loyer)</t>
        </is>
      </c>
      <c r="B32" s="20" t="n">
        <v>0.05</v>
      </c>
    </row>
    <row r="33">
      <c r="A33" s="14" t="inlineStr">
        <is>
          <t>Assurance propriétaire (PNO, €/an)</t>
        </is>
      </c>
      <c r="B33" s="18" t="n">
        <v>300</v>
      </c>
    </row>
    <row r="35" ht="18" customHeight="1">
      <c r="A35" s="7" t="inlineStr">
        <is>
          <t>PLAN DE FINANCEMENT</t>
        </is>
      </c>
    </row>
    <row r="36">
      <c r="A36" s="14" t="inlineStr">
        <is>
          <t>Coût d'acquisition total</t>
        </is>
      </c>
      <c r="B36" s="17">
        <f>B26*(1+B27)</f>
        <v/>
      </c>
      <c r="C36" s="19"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9" t="inlineStr">
        <is>
          <t>positif : le bien se paie tout seul, loyer ≥ crédit + charges</t>
        </is>
      </c>
    </row>
    <row r="52" ht="18" customHeight="1">
      <c r="A52" s="7" t="inlineStr">
        <is>
          <t>LES RATIOS QUE REGARDE LE BANQUIER</t>
        </is>
      </c>
    </row>
    <row r="53">
      <c r="A53" s="14" t="inlineStr">
        <is>
          <t>Rendement brut</t>
        </is>
      </c>
      <c r="B53" s="25">
        <f>IFERROR(B43/B26,"")</f>
        <v/>
      </c>
      <c r="C53" s="19" t="inlineStr">
        <is>
          <t>loyer annuel ÷ prix — la base de comparaison des biens</t>
        </is>
      </c>
    </row>
    <row r="54">
      <c r="A54" s="14" t="inlineStr">
        <is>
          <t>Rendement net avant crédit</t>
        </is>
      </c>
      <c r="B54" s="25">
        <f>IFERROR(B47/B36,"")</f>
        <v/>
      </c>
      <c r="C54" s="19" t="inlineStr">
        <is>
          <t>après taxe foncière, entretien et assurance</t>
        </is>
      </c>
    </row>
    <row r="55">
      <c r="A55" s="14" t="inlineStr">
        <is>
          <t>DSCR — couverture de la dette</t>
        </is>
      </c>
      <c r="B55" s="26">
        <f>IFERROR(B47/B40,"")</f>
        <v/>
      </c>
      <c r="C55" s="19" t="inlineStr">
        <is>
          <t>revenu net ÷ crédit : ≥ 1,20 rassure une banque</t>
        </is>
      </c>
    </row>
    <row r="56">
      <c r="A56" s="14" t="inlineStr">
        <is>
          <t>LTV — part financée par la banque</t>
        </is>
      </c>
      <c r="B56" s="25">
        <f>IFERROR(B38/B26,"")</f>
        <v/>
      </c>
      <c r="C56" s="19" t="inlineStr">
        <is>
          <t>≤ 80 % est la zone de confort bancaire</t>
        </is>
      </c>
    </row>
    <row r="57">
      <c r="A57" s="14" t="inlineStr">
        <is>
          <t>Effort d'épargne mensuel si négatif</t>
        </is>
      </c>
      <c r="B57" s="23">
        <f>MAX(0,-B49/12)</f>
        <v/>
      </c>
    </row>
    <row r="58">
      <c r="A58" s="14" t="inlineStr">
        <is>
          <t>Score de l'outil de veille</t>
        </is>
      </c>
      <c r="B58" s="15" t="inlineStr">
        <is>
          <t>64/100</t>
        </is>
      </c>
      <c r="C58" s="19" t="inlineStr">
        <is>
          <t>rendement, emplacement, prix vs marché, financement, fiscalité</t>
        </is>
      </c>
    </row>
    <row r="60">
      <c r="A60" s="27" t="inlineStr">
        <is>
          <t>⚠ AVERTISSEMENT : le rendement affiché par le vendeur est anormalement élevé. Exiger le bail et les quittances avant toute offre — ce dossier reprend le loyer annoncé tel quel.</t>
        </is>
      </c>
    </row>
    <row r="61"/>
  </sheetData>
  <mergeCells count="12">
    <mergeCell ref="A4:B4"/>
    <mergeCell ref="A25:C25"/>
    <mergeCell ref="A42:C42"/>
    <mergeCell ref="A1:C1"/>
    <mergeCell ref="A3:C3"/>
    <mergeCell ref="A13:C14"/>
    <mergeCell ref="A35:C35"/>
    <mergeCell ref="A60:C61"/>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A VENDRE, QUARTIER MAIRIE-CENTRE</t>
        </is>
      </c>
    </row>
    <row r="2">
      <c r="A2" s="29" t="inlineStr">
        <is>
          <t>Lien</t>
        </is>
      </c>
      <c r="B2" s="31" t="inlineStr">
        <is>
          <t>https://www.bureauxlocaux.com/annonce/a-vendre-quartier-mairie-centre--41226836</t>
        </is>
      </c>
    </row>
    <row r="3">
      <c r="A3" s="29" t="inlineStr">
        <is>
          <t>Ville</t>
        </is>
      </c>
      <c r="B3" s="30" t="inlineStr">
        <is>
          <t>Colombes (92700)</t>
        </is>
      </c>
    </row>
    <row r="4">
      <c r="A4" s="29" t="inlineStr">
        <is>
          <t>Source</t>
        </is>
      </c>
      <c r="B4" s="30" t="inlineStr">
        <is>
          <t>bureauxlocaux</t>
        </is>
      </c>
    </row>
    <row r="5">
      <c r="A5" s="29" t="inlineStr">
        <is>
          <t>Première détection</t>
        </is>
      </c>
      <c r="B5" s="30" t="inlineStr">
        <is>
          <t>2026-07-10</t>
        </is>
      </c>
    </row>
    <row r="6">
      <c r="A6" s="29" t="inlineStr">
        <is>
          <t>Type</t>
        </is>
      </c>
      <c r="B6" s="30" t="inlineStr">
        <is>
          <t>Murs libres</t>
        </is>
      </c>
    </row>
    <row r="7">
      <c r="A7" s="29" t="inlineStr">
        <is>
          <t>Caractéristiques</t>
        </is>
      </c>
      <c r="B7" s="30" t="inlineStr">
        <is>
          <t>—</t>
        </is>
      </c>
    </row>
    <row r="8">
      <c r="A8" s="29" t="inlineStr">
        <is>
          <t>Évolution du prix</t>
        </is>
      </c>
      <c r="B8" s="30" t="inlineStr">
        <is>
          <t>390 000 € (10/07) → 43 261 € (06/10) → 390 000 € (06/10)  —  +0.0 % depuis la première vue</t>
        </is>
      </c>
    </row>
    <row r="9">
      <c r="A9" s="29" t="inlineStr">
        <is>
          <t>Fourchette de marché</t>
        </is>
      </c>
      <c r="B9" s="30" t="inlineStr">
        <is>
          <t>112 ventes réelles 2023-2025 (DVF)</t>
        </is>
      </c>
    </row>
    <row r="10">
      <c r="A10" s="29" t="inlineStr">
        <is>
          <t>Lecture du prix</t>
        </is>
      </c>
      <c r="B10" s="30" t="inlineStr">
        <is>
          <t>Décote lisible : les grandes surfaces se négocient mécaniquement moins cher au m².</t>
        </is>
      </c>
    </row>
    <row r="11">
      <c r="A11" s="29" t="inlineStr">
        <is>
          <t>Alertes</t>
        </is>
      </c>
      <c r="B11" s="30" t="inlineStr">
        <is>
          <t>loyer_estime · rendement_anormalement_eleve · occupation_a_confirmer</t>
        </is>
      </c>
    </row>
    <row r="12" ht="110" customHeight="1">
      <c r="A12" s="29" t="inlineStr">
        <is>
          <t>Description</t>
        </is>
      </c>
      <c r="B12" s="30" t="inlineStr">
        <is>
          <t>A 50 m de la mairie de Colombes, donnant directement sur la place du marché et dans un environnement commerçant mixte (crèche, cabinets médicaux, antiquaire), GROUPE BABYLONE vous propose un local commercial en état d'usage. La surface dispose d'un beau linéaire de vitrine de 11,50mètres. A visiter sans tarder. Restauration interdite. QUARTIER MAIRIE-CENTRE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2026-10-29T01:23:58Z</dcterms:created>
  <dcterms:modified xsi:type="dcterms:W3CDTF">2026-10-29T01:23:58Z</dcterms:modified>
</cp:coreProperties>
</file>