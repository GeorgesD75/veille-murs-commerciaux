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26/10/2026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+1 040 €/mois.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3">
      <c r="A23" s="14" t="inlineStr">
        <is>
          <t>Évolution du prix demandé</t>
        </is>
      </c>
      <c r="B23" s="15" t="inlineStr">
        <is>
          <t>390 000 € (10/07) → 43 261 € (06/10) → 390 000 € (06/10)  —  +0.0 % depuis la première vue</t>
        </is>
      </c>
      <c r="C23" s="19"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8" t="n">
        <v>390000</v>
      </c>
      <c r="C26" s="19"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0.0534</v>
      </c>
    </row>
    <row r="30">
      <c r="A30" s="14" t="inlineStr">
        <is>
          <t>Durée du crédit (années)</t>
        </is>
      </c>
      <c r="B30" s="21" t="n">
        <v>20</v>
      </c>
    </row>
    <row r="31">
      <c r="A31" s="14" t="inlineStr">
        <is>
          <t>Taxe foncière (en mois de loyer par an)</t>
        </is>
      </c>
      <c r="B31" s="22" t="n">
        <v>1</v>
      </c>
      <c r="C31" s="19" t="inlineStr">
        <is>
          <t>à remplacer par le montant réel dès que connu</t>
        </is>
      </c>
    </row>
    <row r="32">
      <c r="A32" s="14" t="inlineStr">
        <is>
          <t>Provision entretien &amp; vacance (% du loyer)</t>
        </is>
      </c>
      <c r="B32" s="20" t="n">
        <v>0.05</v>
      </c>
    </row>
    <row r="33">
      <c r="A33" s="14" t="inlineStr">
        <is>
          <t>Assurance propriétaire (PNO, €/an)</t>
        </is>
      </c>
      <c r="B33" s="18" t="n">
        <v>300</v>
      </c>
    </row>
    <row r="35" ht="18" customHeight="1">
      <c r="A35" s="7" t="inlineStr">
        <is>
          <t>PLAN DE FINANCEMENT</t>
        </is>
      </c>
    </row>
    <row r="36">
      <c r="A36" s="14" t="inlineStr">
        <is>
          <t>Coût d'acquisition total</t>
        </is>
      </c>
      <c r="B36" s="17">
        <f>B26*(1+B27)</f>
        <v/>
      </c>
      <c r="C36" s="19"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9" t="inlineStr">
        <is>
          <t>positif : le bien se paie tout seul, loyer ≥ crédit + charges</t>
        </is>
      </c>
    </row>
    <row r="52" ht="18" customHeight="1">
      <c r="A52" s="7" t="inlineStr">
        <is>
          <t>LES RATIOS QUE REGARDE LE BANQUIER</t>
        </is>
      </c>
    </row>
    <row r="53">
      <c r="A53" s="14" t="inlineStr">
        <is>
          <t>Rendement brut</t>
        </is>
      </c>
      <c r="B53" s="25">
        <f>IFERROR(B43/B26,"")</f>
        <v/>
      </c>
      <c r="C53" s="19" t="inlineStr">
        <is>
          <t>loyer annuel ÷ prix — la base de comparaison des biens</t>
        </is>
      </c>
    </row>
    <row r="54">
      <c r="A54" s="14" t="inlineStr">
        <is>
          <t>Rendement net avant crédit</t>
        </is>
      </c>
      <c r="B54" s="25">
        <f>IFERROR(B47/B36,"")</f>
        <v/>
      </c>
      <c r="C54" s="19" t="inlineStr">
        <is>
          <t>après taxe foncière, entretien et assurance</t>
        </is>
      </c>
    </row>
    <row r="55">
      <c r="A55" s="14" t="inlineStr">
        <is>
          <t>DSCR — couverture de la dette</t>
        </is>
      </c>
      <c r="B55" s="26">
        <f>IFERROR(B47/B40,"")</f>
        <v/>
      </c>
      <c r="C55" s="19" t="inlineStr">
        <is>
          <t>revenu net ÷ crédit : ≥ 1,20 rassure une banque</t>
        </is>
      </c>
    </row>
    <row r="56">
      <c r="A56" s="14" t="inlineStr">
        <is>
          <t>LTV — part financée par la banque</t>
        </is>
      </c>
      <c r="B56" s="25">
        <f>IFERROR(B38/B26,"")</f>
        <v/>
      </c>
      <c r="C56" s="19"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9"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390 000 € (10/07) → 43 261 € (06/10) → 390 000 € (06/10)  —  +0.0 %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 · surface_a_ventiler · occupation_a_confirmer</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 GROUPE BABYLONE vous propose: PRESTATIONS IMMEUBLE : Gardiennage Double accès Aire de chargement Chauffage immeuble gaz Locaux en bon état PRESTATIONS LOT(S) : Entrée par la place du marché Locaux nécessitant une rénovation au goût du jour Linéaire de vitrine : 11,50m Belle hauteur sous plafond Faux plafonds Chauffage collectif au gaz Plinthes et câblage RJ45 CONFIGURATION LOT(S) : RDC : 3 bureaux Mezzanine Sous-sol partiellement aménagé en bureaux, espace cuisine, double sanitaire Sous-sol partiellement laissé en espace de stockage, bénéficiant d'une belle hauteur sous-plafond (4,5m) et d'une aire de livraison pour véhicules légers. Surface RDC : 86,95 m²</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2026-10-25T23:36:21Z</dcterms:created>
  <dcterms:modified xsi:type="dcterms:W3CDTF">2026-10-25T23:36:21Z</dcterms:modified>
</cp:coreProperties>
</file>