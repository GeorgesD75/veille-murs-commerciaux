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3" borderId="1" pivotButton="0" quotePrefix="0" xfId="0"/>
    <xf numFmtId="0" fontId="5" fillId="0" borderId="0" applyAlignment="1" pivotButton="0" quotePrefix="0" xfId="0">
      <alignment vertical="center"/>
    </xf>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A VENDRE, QUARTIER MAIRIE-CENTRE</t>
        </is>
      </c>
    </row>
    <row r="3">
      <c r="A3" s="3" t="inlineStr">
        <is>
          <t>Colombes (92700) — annonce bureauxlocaux du 2026-07-10</t>
        </is>
      </c>
    </row>
    <row r="4">
      <c r="A4" s="4" t="inlineStr">
        <is>
          <t>Voir l'annonce en ligne</t>
        </is>
      </c>
      <c r="B4" s="5" t="inlineStr">
        <is>
          <t>Dossier généré le 10/07/2026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211</v>
      </c>
      <c r="E8" s="5" t="inlineStr">
        <is>
          <t>Cash-flow</t>
        </is>
      </c>
      <c r="F8" s="7">
        <f>B39</f>
        <v/>
      </c>
    </row>
    <row r="9">
      <c r="A9" s="8" t="inlineStr">
        <is>
          <t>Prix affiché</t>
        </is>
      </c>
      <c r="B9" s="11" t="n">
        <v>390000</v>
      </c>
    </row>
    <row r="10">
      <c r="A10" s="8" t="inlineStr">
        <is>
          <t>Prix au m²</t>
        </is>
      </c>
      <c r="B10" s="11">
        <f>IFERROR(B9/B8,"")</f>
        <v/>
      </c>
    </row>
    <row r="11">
      <c r="A11" s="8" t="inlineStr">
        <is>
          <t>Loyer mensuel HT</t>
        </is>
      </c>
      <c r="B11" s="12" t="n">
        <v>3868.33</v>
      </c>
      <c r="C11" s="13" t="inlineStr">
        <is>
          <t>ESTIMATION au loyer de marché local — aucun bail ne le garantit</t>
        </is>
      </c>
    </row>
    <row r="12">
      <c r="A12" s="8" t="inlineStr">
        <is>
          <t>Marché local (prix/m²)</t>
        </is>
      </c>
      <c r="B12" s="9" t="inlineStr">
        <is>
          <t>2 200 à 4 200 €/m²</t>
        </is>
      </c>
      <c r="C12" s="13" t="inlineStr">
        <is>
          <t>ce bien est 42 % SOUS la médiane locale</t>
        </is>
      </c>
    </row>
    <row r="14">
      <c r="A14" s="6" t="inlineStr">
        <is>
          <t>HYPOTHÈSES — cellules jaunes à ajuster avec votre conseiller</t>
        </is>
      </c>
    </row>
    <row r="15">
      <c r="A15" s="8" t="inlineStr">
        <is>
          <t>Prix négocié retenu</t>
        </is>
      </c>
      <c r="B15" s="12" t="n">
        <v>390000</v>
      </c>
      <c r="C15" s="13"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0.0464</v>
      </c>
    </row>
    <row r="19">
      <c r="A19" s="8" t="inlineStr">
        <is>
          <t>Durée du crédit (années)</t>
        </is>
      </c>
      <c r="B19" s="15" t="n">
        <v>20</v>
      </c>
    </row>
    <row r="20">
      <c r="A20" s="8" t="inlineStr">
        <is>
          <t>Taxe foncière (en mois de loyer par an)</t>
        </is>
      </c>
      <c r="B20" s="16" t="n">
        <v>1</v>
      </c>
      <c r="C20" s="13" t="inlineStr">
        <is>
          <t>à remplacer par le montant réel dès que connu</t>
        </is>
      </c>
    </row>
    <row r="21">
      <c r="A21" s="8" t="inlineStr">
        <is>
          <t>Provision entretien &amp; vacance (% du loyer)</t>
        </is>
      </c>
      <c r="B21" s="14" t="n">
        <v>0.05</v>
      </c>
    </row>
    <row r="22">
      <c r="A22" s="8" t="inlineStr">
        <is>
          <t>Assurance propriétaire (PNO, €/an)</t>
        </is>
      </c>
      <c r="B22" s="12" t="n">
        <v>300</v>
      </c>
    </row>
    <row r="24">
      <c r="A24" s="6" t="inlineStr">
        <is>
          <t>PLAN DE FINANCEMENT</t>
        </is>
      </c>
    </row>
    <row r="25">
      <c r="A25" s="8" t="inlineStr">
        <is>
          <t>Coût d'acquisition total</t>
        </is>
      </c>
      <c r="B25" s="11">
        <f>B15*(1+B16)</f>
        <v/>
      </c>
      <c r="C25" s="13"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3" t="inlineStr">
        <is>
          <t>positif : le bien se paie tout seul, loyer ≥ crédit + charges</t>
        </is>
      </c>
    </row>
    <row r="41">
      <c r="A41" s="6" t="inlineStr">
        <is>
          <t>LES RATIOS QUE REGARDE LE BANQUIER</t>
        </is>
      </c>
    </row>
    <row r="42">
      <c r="A42" s="8" t="inlineStr">
        <is>
          <t>Rendement brut</t>
        </is>
      </c>
      <c r="B42" s="19">
        <f>IFERROR(B32/B15,"")</f>
        <v/>
      </c>
      <c r="C42" s="13" t="inlineStr">
        <is>
          <t>loyer annuel ÷ prix — la base de comparaison des biens</t>
        </is>
      </c>
    </row>
    <row r="43">
      <c r="A43" s="8" t="inlineStr">
        <is>
          <t>Rendement net avant crédit</t>
        </is>
      </c>
      <c r="B43" s="19">
        <f>IFERROR(B36/B25,"")</f>
        <v/>
      </c>
      <c r="C43" s="13" t="inlineStr">
        <is>
          <t>après taxe foncière, entretien et assurance</t>
        </is>
      </c>
    </row>
    <row r="44">
      <c r="A44" s="8" t="inlineStr">
        <is>
          <t>DSCR — couverture de la dette</t>
        </is>
      </c>
      <c r="B44" s="20">
        <f>IFERROR(B36/B29,"")</f>
        <v/>
      </c>
      <c r="C44" s="13" t="inlineStr">
        <is>
          <t>revenu net ÷ crédit : ≥ 1,20 rassure une banque</t>
        </is>
      </c>
    </row>
    <row r="45">
      <c r="A45" s="8" t="inlineStr">
        <is>
          <t>LTV — part financée par la banque</t>
        </is>
      </c>
      <c r="B45" s="19">
        <f>IFERROR(B27/B15,"")</f>
        <v/>
      </c>
      <c r="C45" s="13"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3" t="inlineStr">
        <is>
          <t>rendement, emplacement, prix vs marché, proximité</t>
        </is>
      </c>
    </row>
    <row r="49">
      <c r="A49" s="21" t="inlineStr">
        <is>
          <t>EN CLAIR — Sur la base d'un loyer ESTIMÉ (pas de bail signé à ce stade) : aux hypothèses de ce dossier (apport 20 %, crédit 4,64 % sur 20 ans, charges provisionnées), le bien s'autofinance : le loyer couvre crédit et charges et laisse environ +1 170 €/mois.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A VENDRE, QUARTIER MAIRIE-CENTRE</t>
        </is>
      </c>
    </row>
    <row r="2">
      <c r="A2" s="24" t="inlineStr">
        <is>
          <t>Lien</t>
        </is>
      </c>
      <c r="B2" s="26" t="inlineStr">
        <is>
          <t>https://www.bureauxlocaux.com/annonce/a-vendre-quartier-mairie-centre--41226836</t>
        </is>
      </c>
    </row>
    <row r="3">
      <c r="A3" s="24" t="inlineStr">
        <is>
          <t>Ville</t>
        </is>
      </c>
      <c r="B3" s="25" t="inlineStr">
        <is>
          <t>Colombes (92700)</t>
        </is>
      </c>
    </row>
    <row r="4">
      <c r="A4" s="24" t="inlineStr">
        <is>
          <t>Source</t>
        </is>
      </c>
      <c r="B4" s="25" t="inlineStr">
        <is>
          <t>bureauxlocaux</t>
        </is>
      </c>
    </row>
    <row r="5">
      <c r="A5" s="24" t="inlineStr">
        <is>
          <t>Première détection</t>
        </is>
      </c>
      <c r="B5" s="25" t="inlineStr">
        <is>
          <t>2026-07-10</t>
        </is>
      </c>
    </row>
    <row r="6">
      <c r="A6" s="24" t="inlineStr">
        <is>
          <t>Type</t>
        </is>
      </c>
      <c r="B6" s="25" t="inlineStr">
        <is>
          <t>Murs libres</t>
        </is>
      </c>
    </row>
    <row r="7">
      <c r="A7" s="24" t="inlineStr">
        <is>
          <t>Caractéristiques</t>
        </is>
      </c>
      <c r="B7" s="25" t="inlineStr">
        <is>
          <t>—</t>
        </is>
      </c>
    </row>
    <row r="8">
      <c r="A8" s="24" t="inlineStr">
        <is>
          <t>Lecture du prix</t>
        </is>
      </c>
      <c r="B8" s="25" t="inlineStr">
        <is>
          <t>Décote lisible : les grandes surfaces se négocient mécaniquement moins cher au m².</t>
        </is>
      </c>
    </row>
    <row r="9">
      <c r="A9" s="24" t="inlineStr">
        <is>
          <t>Alertes</t>
        </is>
      </c>
      <c r="B9" s="25" t="inlineStr">
        <is>
          <t>loyer_estime · rendement_anormalement_eleve</t>
        </is>
      </c>
    </row>
    <row r="10" ht="110" customHeight="1">
      <c r="A10" s="24" t="inlineStr">
        <is>
          <t>Description</t>
        </is>
      </c>
      <c r="B10" s="25"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2026-07-10T08:51:15Z</dcterms:created>
  <dcterms:modified xsi:type="dcterms:W3CDTF">2026-07-10T08:51:15Z</dcterms:modified>
</cp:coreProperties>
</file>